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8_{E0D2CDBD-D42C-4856-8520-C3403CFC3F36}" xr6:coauthVersionLast="47" xr6:coauthVersionMax="47" xr10:uidLastSave="{00000000-0000-0000-0000-000000000000}"/>
  <bookViews>
    <workbookView xWindow="-108" yWindow="-108" windowWidth="23256" windowHeight="12456" xr2:uid="{4314C0BF-051B-4C7D-882E-BDB60A7EF2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N2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2" i="1"/>
  <c r="I2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2" i="1"/>
  <c r="E2" i="1" l="1"/>
  <c r="D2" i="1"/>
</calcChain>
</file>

<file path=xl/sharedStrings.xml><?xml version="1.0" encoding="utf-8"?>
<sst xmlns="http://schemas.openxmlformats.org/spreadsheetml/2006/main" count="134" uniqueCount="134">
  <si>
    <t>Kabupaten/Kota</t>
  </si>
  <si>
    <t>Kepulauan Seribu</t>
  </si>
  <si>
    <t>Kota Jakarta Selatan</t>
  </si>
  <si>
    <t>Kota Jakarta Timur</t>
  </si>
  <si>
    <t>Kota Jakarta Pusat</t>
  </si>
  <si>
    <t>Kota Jakarta Barat</t>
  </si>
  <si>
    <t>Kota Jakarta Utara</t>
  </si>
  <si>
    <t>Bogor</t>
  </si>
  <si>
    <t>Sukabumi</t>
  </si>
  <si>
    <t>Cianjur</t>
  </si>
  <si>
    <t>Bandung</t>
  </si>
  <si>
    <t>Garut</t>
  </si>
  <si>
    <t>Tasikmalaya</t>
  </si>
  <si>
    <t>Ciamis</t>
  </si>
  <si>
    <t>Kuningan</t>
  </si>
  <si>
    <t>Cirebon</t>
  </si>
  <si>
    <t>Majalengka</t>
  </si>
  <si>
    <t>Sumedang</t>
  </si>
  <si>
    <t>Indramayu</t>
  </si>
  <si>
    <t>Subang</t>
  </si>
  <si>
    <t>Purwakarta</t>
  </si>
  <si>
    <t>Karawang</t>
  </si>
  <si>
    <t>Bekasi</t>
  </si>
  <si>
    <t>Bandung Barat</t>
  </si>
  <si>
    <t>Pangandaran</t>
  </si>
  <si>
    <t>Kota Bogor</t>
  </si>
  <si>
    <t>Kota Sukabumi</t>
  </si>
  <si>
    <t>Kota Bandung</t>
  </si>
  <si>
    <t>Kota Cirebon</t>
  </si>
  <si>
    <t>Kota Bekasi</t>
  </si>
  <si>
    <t>Kota Depok</t>
  </si>
  <si>
    <t>Kota Cimahi</t>
  </si>
  <si>
    <t>Kota Tasikmalaya</t>
  </si>
  <si>
    <t>Kota Banjar</t>
  </si>
  <si>
    <t>Cilacap</t>
  </si>
  <si>
    <t>Banyumas</t>
  </si>
  <si>
    <t>Purbalingga</t>
  </si>
  <si>
    <t>Banjarnegara</t>
  </si>
  <si>
    <t>Kebumen</t>
  </si>
  <si>
    <t>Purworejo</t>
  </si>
  <si>
    <t>Wonosobo</t>
  </si>
  <si>
    <t>Magelang</t>
  </si>
  <si>
    <t>Boyolali</t>
  </si>
  <si>
    <t>Klaten</t>
  </si>
  <si>
    <t>Sukoharjo</t>
  </si>
  <si>
    <t>Wonogiri</t>
  </si>
  <si>
    <t>Karanganyar</t>
  </si>
  <si>
    <t>Sragen</t>
  </si>
  <si>
    <t>Grobogan</t>
  </si>
  <si>
    <t>Blora</t>
  </si>
  <si>
    <t>Rembang</t>
  </si>
  <si>
    <t>Pati</t>
  </si>
  <si>
    <t>Kudus</t>
  </si>
  <si>
    <t>Jepara</t>
  </si>
  <si>
    <t>Demak</t>
  </si>
  <si>
    <t>Semarang</t>
  </si>
  <si>
    <t>Temanggung</t>
  </si>
  <si>
    <t>Kendal</t>
  </si>
  <si>
    <t>Batang</t>
  </si>
  <si>
    <t>Pekalongan</t>
  </si>
  <si>
    <t>Pemalang</t>
  </si>
  <si>
    <t>Tegal</t>
  </si>
  <si>
    <t>Brebes</t>
  </si>
  <si>
    <t>Kota Magelang</t>
  </si>
  <si>
    <t>Kota Surakarta</t>
  </si>
  <si>
    <t>Kota Salatiga</t>
  </si>
  <si>
    <t>Kota Semarang</t>
  </si>
  <si>
    <t>Kota Pekalongan</t>
  </si>
  <si>
    <t>Kota Tegal</t>
  </si>
  <si>
    <t>Kulon Progo</t>
  </si>
  <si>
    <t>Bantul</t>
  </si>
  <si>
    <t>Gunung Kidul</t>
  </si>
  <si>
    <t>Sleman</t>
  </si>
  <si>
    <t>Kota Yogyakarta</t>
  </si>
  <si>
    <t>Pacitan</t>
  </si>
  <si>
    <t>Ponorogo</t>
  </si>
  <si>
    <t>Trenggalek</t>
  </si>
  <si>
    <t>Tulungagung</t>
  </si>
  <si>
    <t>Blitar</t>
  </si>
  <si>
    <t>Kediri</t>
  </si>
  <si>
    <t>Malang</t>
  </si>
  <si>
    <t>Lumajang</t>
  </si>
  <si>
    <t>Jember</t>
  </si>
  <si>
    <t>Banyuwangi</t>
  </si>
  <si>
    <t>Bondowoso</t>
  </si>
  <si>
    <t>Situbondo</t>
  </si>
  <si>
    <t>Probolinggo</t>
  </si>
  <si>
    <t>Pasuruan</t>
  </si>
  <si>
    <t>Sidoarjo</t>
  </si>
  <si>
    <t>Mojokerto</t>
  </si>
  <si>
    <t>Jombang</t>
  </si>
  <si>
    <t>Nganjuk</t>
  </si>
  <si>
    <t>Madiun</t>
  </si>
  <si>
    <t>Magetan</t>
  </si>
  <si>
    <t>Ngawi</t>
  </si>
  <si>
    <t>Bojonegoro</t>
  </si>
  <si>
    <t>Tuban</t>
  </si>
  <si>
    <t>Lamongan</t>
  </si>
  <si>
    <t>Gresik</t>
  </si>
  <si>
    <t>Bangkalan</t>
  </si>
  <si>
    <t>Sampang</t>
  </si>
  <si>
    <t>Pamekasan</t>
  </si>
  <si>
    <t>Sumenep</t>
  </si>
  <si>
    <t>Kota Kediri</t>
  </si>
  <si>
    <t>Kota Blitar</t>
  </si>
  <si>
    <t>Kota Malang</t>
  </si>
  <si>
    <t>Kota Probolinggo</t>
  </si>
  <si>
    <t>Kota Pasuruan</t>
  </si>
  <si>
    <t>Kota Mojokerto</t>
  </si>
  <si>
    <t>Kota Madiun</t>
  </si>
  <si>
    <t>Kota Surabaya</t>
  </si>
  <si>
    <t>Kota Batu</t>
  </si>
  <si>
    <t>Pandeglang</t>
  </si>
  <si>
    <t>Lebak</t>
  </si>
  <si>
    <t>Tangerang</t>
  </si>
  <si>
    <t>Serang</t>
  </si>
  <si>
    <t>Kota Tangerang</t>
  </si>
  <si>
    <t>Kota Cilegon</t>
  </si>
  <si>
    <t>Kota Serang</t>
  </si>
  <si>
    <t>Kota Tangerang Selatan</t>
  </si>
  <si>
    <t>Indeks Pembangunan Manusia (Y)</t>
  </si>
  <si>
    <t>Persentase Penduduk Miskin (Y)</t>
  </si>
  <si>
    <t>X bar</t>
  </si>
  <si>
    <t>Y bar</t>
  </si>
  <si>
    <t>(Xi-X bar)</t>
  </si>
  <si>
    <t>(Yi-Y bar)</t>
  </si>
  <si>
    <t>(Xi-X bar)(Yi-Y bar)</t>
  </si>
  <si>
    <t>sum((Xi-X bar)(Yi-Y bar))</t>
  </si>
  <si>
    <t>(Xi-X bar)^2</t>
  </si>
  <si>
    <t>sum((Xi-X bar)^2)</t>
  </si>
  <si>
    <t>beta 0</t>
  </si>
  <si>
    <t>beta 1</t>
  </si>
  <si>
    <t xml:space="preserve">maka persamaan: </t>
  </si>
  <si>
    <t>y (duga) = 84,2552 - 0,93772X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</si>
</sst>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theme="1"/>
      <name val="Arial"/>
    </font>
    <font>
      <sz val="10"/>
      <color theme="1"/>
      <name val="Arial"/>
    </font>
  </fonts>
  <fills count="8">
    <fill>
      <patternFill patternType="none"/>
    </fill>
    <fill>
      <patternFill patternType="gray125"/>
    </fill>
    <fill>
      <patternFill patternType="solid">
        <fgColor rgb="FFB4E4E8"/>
        <bgColor rgb="FFB4E4E8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1" fillId="3" borderId="2" xfId="0" applyFont="1" applyFill="1" applyBorder="1"/>
    <xf numFmtId="0" fontId="1" fillId="4" borderId="2" xfId="0" applyFont="1" applyFill="1" applyBorder="1"/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D2D09-6721-4F17-A7F7-356EA76F9405}">
  <dimension ref="A1:O120"/>
  <sheetViews>
    <sheetView tabSelected="1" workbookViewId="0">
      <selection activeCell="P7" sqref="P7"/>
    </sheetView>
  </sheetViews>
  <sheetFormatPr defaultRowHeight="14.4" x14ac:dyDescent="0.3"/>
  <cols>
    <col min="1" max="1" width="21.5546875" customWidth="1"/>
    <col min="2" max="2" width="30" customWidth="1"/>
    <col min="3" max="3" width="30.6640625" customWidth="1"/>
    <col min="8" max="8" width="16.109375" customWidth="1"/>
    <col min="9" max="9" width="20.33203125" customWidth="1"/>
    <col min="10" max="10" width="11.21875" customWidth="1"/>
    <col min="11" max="11" width="16" customWidth="1"/>
    <col min="13" max="13" width="6.109375" customWidth="1"/>
    <col min="15" max="15" width="10" customWidth="1"/>
  </cols>
  <sheetData>
    <row r="1" spans="1:15" x14ac:dyDescent="0.3">
      <c r="A1" s="1" t="s">
        <v>0</v>
      </c>
      <c r="B1" s="2" t="s">
        <v>120</v>
      </c>
      <c r="C1" s="3" t="s">
        <v>121</v>
      </c>
      <c r="D1" s="7" t="s">
        <v>123</v>
      </c>
      <c r="E1" s="7" t="s">
        <v>122</v>
      </c>
      <c r="F1" s="7" t="s">
        <v>124</v>
      </c>
      <c r="G1" s="7" t="s">
        <v>125</v>
      </c>
      <c r="H1" s="7" t="s">
        <v>126</v>
      </c>
      <c r="I1" s="7" t="s">
        <v>127</v>
      </c>
      <c r="J1" s="7" t="s">
        <v>128</v>
      </c>
      <c r="K1" s="7" t="s">
        <v>129</v>
      </c>
    </row>
    <row r="2" spans="1:15" x14ac:dyDescent="0.3">
      <c r="A2" s="4" t="s">
        <v>1</v>
      </c>
      <c r="B2" s="4">
        <v>76.69</v>
      </c>
      <c r="C2" s="5">
        <v>13.03</v>
      </c>
      <c r="D2" s="6">
        <f>AVERAGE(B2:B120)</f>
        <v>75.746134453781551</v>
      </c>
      <c r="E2" s="6">
        <f>AVERAGE(C2:C120)</f>
        <v>9.074201680672271</v>
      </c>
      <c r="F2" s="6">
        <f>C2-$E$2</f>
        <v>3.9557983193277284</v>
      </c>
      <c r="G2" s="6">
        <f>B2-$D$2</f>
        <v>0.94386554621844709</v>
      </c>
      <c r="H2" s="6">
        <f>F2*G2</f>
        <v>3.7337417414022815</v>
      </c>
      <c r="I2" s="6">
        <f>SUM(H2:H120)</f>
        <v>-1530.0322672268906</v>
      </c>
      <c r="J2" s="6">
        <f>F2^2</f>
        <v>15.648340343196081</v>
      </c>
      <c r="K2" s="6">
        <f>SUM(J2:J120)</f>
        <v>1631.6506991596639</v>
      </c>
      <c r="M2" s="8" t="s">
        <v>131</v>
      </c>
      <c r="N2" s="8">
        <f>I2/K2</f>
        <v>-0.93772047412775972</v>
      </c>
    </row>
    <row r="3" spans="1:15" x14ac:dyDescent="0.3">
      <c r="A3" s="4" t="s">
        <v>2</v>
      </c>
      <c r="B3" s="4">
        <v>87.57</v>
      </c>
      <c r="C3" s="5">
        <v>3.03</v>
      </c>
      <c r="D3" s="6"/>
      <c r="E3" s="6"/>
      <c r="F3" s="6">
        <f t="shared" ref="F3:F66" si="0">C3-$E$2</f>
        <v>-6.0442016806722716</v>
      </c>
      <c r="G3" s="6">
        <f t="shared" ref="G3:G66" si="1">B3-$D$2</f>
        <v>11.823865546218443</v>
      </c>
      <c r="H3" s="6">
        <f t="shared" ref="H3:H66" si="2">F3*G3</f>
        <v>-71.46582800649648</v>
      </c>
      <c r="I3" s="6"/>
      <c r="J3" s="6">
        <f t="shared" ref="J3:J66" si="3">F3^2</f>
        <v>36.532373956641514</v>
      </c>
      <c r="K3" s="6"/>
      <c r="M3" s="8" t="s">
        <v>130</v>
      </c>
      <c r="N3" s="8">
        <f>D2-N2*E2</f>
        <v>84.255199156112468</v>
      </c>
    </row>
    <row r="4" spans="1:15" x14ac:dyDescent="0.3">
      <c r="A4" s="4" t="s">
        <v>3</v>
      </c>
      <c r="B4" s="4">
        <v>84.76</v>
      </c>
      <c r="C4" s="5">
        <v>4.09</v>
      </c>
      <c r="D4" s="6"/>
      <c r="E4" s="6"/>
      <c r="F4" s="6">
        <f t="shared" si="0"/>
        <v>-4.9842016806722711</v>
      </c>
      <c r="G4" s="6">
        <f t="shared" si="1"/>
        <v>9.0138655462184545</v>
      </c>
      <c r="H4" s="6">
        <f t="shared" si="2"/>
        <v>-44.9269238048159</v>
      </c>
      <c r="I4" s="6"/>
      <c r="J4" s="6">
        <f t="shared" si="3"/>
        <v>24.842266393616292</v>
      </c>
      <c r="K4" s="6"/>
    </row>
    <row r="5" spans="1:15" x14ac:dyDescent="0.3">
      <c r="A5" s="4" t="s">
        <v>4</v>
      </c>
      <c r="B5" s="4">
        <v>83.75</v>
      </c>
      <c r="C5" s="5">
        <v>4.63</v>
      </c>
      <c r="D5" s="6"/>
      <c r="E5" s="6"/>
      <c r="F5" s="6">
        <f t="shared" si="0"/>
        <v>-4.4442016806722711</v>
      </c>
      <c r="G5" s="6">
        <f t="shared" si="1"/>
        <v>8.0038655462184494</v>
      </c>
      <c r="H5" s="6">
        <f t="shared" si="2"/>
        <v>-35.570792712378918</v>
      </c>
      <c r="I5" s="6"/>
      <c r="J5" s="6">
        <f t="shared" si="3"/>
        <v>19.750928578490239</v>
      </c>
      <c r="K5" s="6"/>
      <c r="M5" s="9" t="s">
        <v>132</v>
      </c>
      <c r="N5" s="9"/>
      <c r="O5" s="9"/>
    </row>
    <row r="6" spans="1:15" x14ac:dyDescent="0.3">
      <c r="A6" s="4" t="s">
        <v>5</v>
      </c>
      <c r="B6" s="4">
        <v>84.4</v>
      </c>
      <c r="C6" s="5">
        <v>3.94</v>
      </c>
      <c r="D6" s="6"/>
      <c r="E6" s="6"/>
      <c r="F6" s="6">
        <f t="shared" si="0"/>
        <v>-5.1342016806722715</v>
      </c>
      <c r="G6" s="6">
        <f t="shared" si="1"/>
        <v>8.6538655462184551</v>
      </c>
      <c r="H6" s="6">
        <f t="shared" si="2"/>
        <v>-44.430691031706658</v>
      </c>
      <c r="I6" s="6"/>
      <c r="J6" s="6">
        <f t="shared" si="3"/>
        <v>26.360026897817978</v>
      </c>
      <c r="K6" s="6"/>
      <c r="M6" s="9" t="s">
        <v>133</v>
      </c>
      <c r="N6" s="9"/>
      <c r="O6" s="9"/>
    </row>
    <row r="7" spans="1:15" x14ac:dyDescent="0.3">
      <c r="A7" s="4" t="s">
        <v>6</v>
      </c>
      <c r="B7" s="4">
        <v>82.13</v>
      </c>
      <c r="C7" s="5">
        <v>6.44</v>
      </c>
      <c r="D7" s="6"/>
      <c r="E7" s="6"/>
      <c r="F7" s="6">
        <f t="shared" si="0"/>
        <v>-2.6342016806722706</v>
      </c>
      <c r="G7" s="6">
        <f t="shared" si="1"/>
        <v>6.3838655462184448</v>
      </c>
      <c r="H7" s="6">
        <f t="shared" si="2"/>
        <v>-16.816389351034431</v>
      </c>
      <c r="I7" s="6"/>
      <c r="J7" s="6">
        <f t="shared" si="3"/>
        <v>6.9390184944566151</v>
      </c>
      <c r="K7" s="6"/>
    </row>
    <row r="8" spans="1:15" x14ac:dyDescent="0.3">
      <c r="A8" s="4" t="s">
        <v>7</v>
      </c>
      <c r="B8" s="4">
        <v>73.63</v>
      </c>
      <c r="C8" s="5">
        <v>7.05</v>
      </c>
      <c r="D8" s="6"/>
      <c r="E8" s="6"/>
      <c r="F8" s="6">
        <f t="shared" si="0"/>
        <v>-2.0242016806722711</v>
      </c>
      <c r="G8" s="6">
        <f t="shared" si="1"/>
        <v>-2.1161344537815552</v>
      </c>
      <c r="H8" s="6">
        <f t="shared" si="2"/>
        <v>4.2834829178731226</v>
      </c>
      <c r="I8" s="6"/>
      <c r="J8" s="6">
        <f t="shared" si="3"/>
        <v>4.0973924440364469</v>
      </c>
      <c r="K8" s="6"/>
    </row>
    <row r="9" spans="1:15" x14ac:dyDescent="0.3">
      <c r="A9" s="4" t="s">
        <v>8</v>
      </c>
      <c r="B9" s="4">
        <v>70.180000000000007</v>
      </c>
      <c r="C9" s="5">
        <v>6.87</v>
      </c>
      <c r="D9" s="6"/>
      <c r="E9" s="6"/>
      <c r="F9" s="6">
        <f t="shared" si="0"/>
        <v>-2.2042016806722708</v>
      </c>
      <c r="G9" s="6">
        <f t="shared" si="1"/>
        <v>-5.5661344537815438</v>
      </c>
      <c r="H9" s="6">
        <f t="shared" si="2"/>
        <v>12.26888291787311</v>
      </c>
      <c r="I9" s="6"/>
      <c r="J9" s="6">
        <f t="shared" si="3"/>
        <v>4.8585050490784631</v>
      </c>
      <c r="K9" s="6"/>
    </row>
    <row r="10" spans="1:15" x14ac:dyDescent="0.3">
      <c r="A10" s="4" t="s">
        <v>9</v>
      </c>
      <c r="B10" s="4">
        <v>68.89</v>
      </c>
      <c r="C10" s="5">
        <v>10.14</v>
      </c>
      <c r="D10" s="6"/>
      <c r="E10" s="6"/>
      <c r="F10" s="6">
        <f t="shared" si="0"/>
        <v>1.0657983193277296</v>
      </c>
      <c r="G10" s="6">
        <f t="shared" si="1"/>
        <v>-6.8561344537815501</v>
      </c>
      <c r="H10" s="6">
        <f t="shared" si="2"/>
        <v>-7.3072565779253171</v>
      </c>
      <c r="I10" s="6"/>
      <c r="J10" s="6">
        <f t="shared" si="3"/>
        <v>1.1359260574818131</v>
      </c>
      <c r="K10" s="6"/>
    </row>
    <row r="11" spans="1:15" x14ac:dyDescent="0.3">
      <c r="A11" s="4" t="s">
        <v>10</v>
      </c>
      <c r="B11" s="4">
        <v>74.59</v>
      </c>
      <c r="C11" s="5">
        <v>6.19</v>
      </c>
      <c r="D11" s="6"/>
      <c r="E11" s="6"/>
      <c r="F11" s="6">
        <f t="shared" si="0"/>
        <v>-2.8842016806722706</v>
      </c>
      <c r="G11" s="6">
        <f t="shared" si="1"/>
        <v>-1.1561344537815472</v>
      </c>
      <c r="H11" s="6">
        <f t="shared" si="2"/>
        <v>3.3345249346798562</v>
      </c>
      <c r="I11" s="6"/>
      <c r="J11" s="6">
        <f t="shared" si="3"/>
        <v>8.31861933479275</v>
      </c>
      <c r="K11" s="6"/>
    </row>
    <row r="12" spans="1:15" x14ac:dyDescent="0.3">
      <c r="A12" s="4" t="s">
        <v>11</v>
      </c>
      <c r="B12" s="4">
        <v>69.91</v>
      </c>
      <c r="C12" s="5">
        <v>9.68</v>
      </c>
      <c r="D12" s="6"/>
      <c r="E12" s="6"/>
      <c r="F12" s="6">
        <f t="shared" si="0"/>
        <v>0.60579831932772876</v>
      </c>
      <c r="G12" s="6">
        <f t="shared" si="1"/>
        <v>-5.836134453781554</v>
      </c>
      <c r="H12" s="6">
        <f t="shared" si="2"/>
        <v>-3.5355204434715177</v>
      </c>
      <c r="I12" s="6"/>
      <c r="J12" s="6">
        <f t="shared" si="3"/>
        <v>0.36699160370030082</v>
      </c>
      <c r="K12" s="6"/>
    </row>
    <row r="13" spans="1:15" x14ac:dyDescent="0.3">
      <c r="A13" s="4" t="s">
        <v>12</v>
      </c>
      <c r="B13" s="4">
        <v>69.98</v>
      </c>
      <c r="C13" s="5">
        <v>10.23</v>
      </c>
      <c r="D13" s="6"/>
      <c r="E13" s="6"/>
      <c r="F13" s="6">
        <f t="shared" si="0"/>
        <v>1.1557983193277295</v>
      </c>
      <c r="G13" s="6">
        <f t="shared" si="1"/>
        <v>-5.7661344537815467</v>
      </c>
      <c r="H13" s="6">
        <f t="shared" si="2"/>
        <v>-6.6644885106984271</v>
      </c>
      <c r="I13" s="6"/>
      <c r="J13" s="6">
        <f t="shared" si="3"/>
        <v>1.3358697549608041</v>
      </c>
      <c r="K13" s="6"/>
    </row>
    <row r="14" spans="1:15" x14ac:dyDescent="0.3">
      <c r="A14" s="4" t="s">
        <v>13</v>
      </c>
      <c r="B14" s="4">
        <v>73.64</v>
      </c>
      <c r="C14" s="5">
        <v>7.39</v>
      </c>
      <c r="D14" s="6"/>
      <c r="E14" s="6"/>
      <c r="F14" s="6">
        <f t="shared" si="0"/>
        <v>-1.6842016806722713</v>
      </c>
      <c r="G14" s="6">
        <f t="shared" si="1"/>
        <v>-2.1061344537815501</v>
      </c>
      <c r="H14" s="6">
        <f t="shared" si="2"/>
        <v>3.5471551867806626</v>
      </c>
      <c r="I14" s="6"/>
      <c r="J14" s="6">
        <f t="shared" si="3"/>
        <v>2.8365353011793033</v>
      </c>
      <c r="K14" s="6"/>
    </row>
    <row r="15" spans="1:15" x14ac:dyDescent="0.3">
      <c r="A15" s="4" t="s">
        <v>14</v>
      </c>
      <c r="B15" s="4">
        <v>71.56</v>
      </c>
      <c r="C15" s="5">
        <v>11.88</v>
      </c>
      <c r="D15" s="6"/>
      <c r="E15" s="6"/>
      <c r="F15" s="6">
        <f t="shared" si="0"/>
        <v>2.8057983193277298</v>
      </c>
      <c r="G15" s="6">
        <f t="shared" si="1"/>
        <v>-4.1861344537815484</v>
      </c>
      <c r="H15" s="6">
        <f t="shared" si="2"/>
        <v>-11.745449014900172</v>
      </c>
      <c r="I15" s="6"/>
      <c r="J15" s="6">
        <f t="shared" si="3"/>
        <v>7.8725042087423134</v>
      </c>
      <c r="K15" s="6"/>
    </row>
    <row r="16" spans="1:15" x14ac:dyDescent="0.3">
      <c r="A16" s="4" t="s">
        <v>15</v>
      </c>
      <c r="B16" s="4">
        <v>72.3</v>
      </c>
      <c r="C16" s="5">
        <v>11</v>
      </c>
      <c r="D16" s="6"/>
      <c r="E16" s="6"/>
      <c r="F16" s="6">
        <f t="shared" si="0"/>
        <v>1.925798319327729</v>
      </c>
      <c r="G16" s="6">
        <f t="shared" si="1"/>
        <v>-3.4461344537815535</v>
      </c>
      <c r="H16" s="6">
        <f t="shared" si="2"/>
        <v>-6.6365599392698975</v>
      </c>
      <c r="I16" s="6"/>
      <c r="J16" s="6">
        <f t="shared" si="3"/>
        <v>3.708699166725506</v>
      </c>
      <c r="K16" s="6"/>
    </row>
    <row r="17" spans="1:11" x14ac:dyDescent="0.3">
      <c r="A17" s="4" t="s">
        <v>16</v>
      </c>
      <c r="B17" s="4">
        <v>71.37</v>
      </c>
      <c r="C17" s="5">
        <v>10.82</v>
      </c>
      <c r="D17" s="6"/>
      <c r="E17" s="6"/>
      <c r="F17" s="6">
        <f t="shared" si="0"/>
        <v>1.7457983193277293</v>
      </c>
      <c r="G17" s="6">
        <f t="shared" si="1"/>
        <v>-4.3761344537815461</v>
      </c>
      <c r="H17" s="6">
        <f t="shared" si="2"/>
        <v>-7.6398481745639941</v>
      </c>
      <c r="I17" s="6"/>
      <c r="J17" s="6">
        <f t="shared" si="3"/>
        <v>3.0478117717675244</v>
      </c>
      <c r="K17" s="6"/>
    </row>
    <row r="18" spans="1:11" x14ac:dyDescent="0.3">
      <c r="A18" s="4" t="s">
        <v>17</v>
      </c>
      <c r="B18" s="4">
        <v>74.569999999999993</v>
      </c>
      <c r="C18" s="5">
        <v>9.1</v>
      </c>
      <c r="D18" s="6"/>
      <c r="E18" s="6"/>
      <c r="F18" s="6">
        <f t="shared" si="0"/>
        <v>2.5798319327728692E-2</v>
      </c>
      <c r="G18" s="6">
        <f t="shared" si="1"/>
        <v>-1.1761344537815575</v>
      </c>
      <c r="H18" s="6">
        <f t="shared" si="2"/>
        <v>-3.034229221100038E-2</v>
      </c>
      <c r="I18" s="6"/>
      <c r="J18" s="6">
        <f t="shared" si="3"/>
        <v>6.6555328013545979E-4</v>
      </c>
      <c r="K18" s="6"/>
    </row>
    <row r="19" spans="1:11" x14ac:dyDescent="0.3">
      <c r="A19" s="4" t="s">
        <v>18</v>
      </c>
      <c r="B19" s="4">
        <v>70.72</v>
      </c>
      <c r="C19" s="5">
        <v>11.93</v>
      </c>
      <c r="D19" s="6"/>
      <c r="E19" s="6"/>
      <c r="F19" s="6">
        <f t="shared" si="0"/>
        <v>2.8557983193277288</v>
      </c>
      <c r="G19" s="6">
        <f t="shared" si="1"/>
        <v>-5.0261344537815518</v>
      </c>
      <c r="H19" s="6">
        <f t="shared" si="2"/>
        <v>-14.353626325824548</v>
      </c>
      <c r="I19" s="6"/>
      <c r="J19" s="6">
        <f t="shared" si="3"/>
        <v>8.1555840406750804</v>
      </c>
      <c r="K19" s="6"/>
    </row>
    <row r="20" spans="1:11" x14ac:dyDescent="0.3">
      <c r="A20" s="4" t="s">
        <v>19</v>
      </c>
      <c r="B20" s="4">
        <v>72.05</v>
      </c>
      <c r="C20" s="5">
        <v>9.49</v>
      </c>
      <c r="D20" s="6"/>
      <c r="E20" s="6"/>
      <c r="F20" s="6">
        <f t="shared" si="0"/>
        <v>0.41579831932772926</v>
      </c>
      <c r="G20" s="6">
        <f t="shared" si="1"/>
        <v>-3.6961344537815535</v>
      </c>
      <c r="H20" s="6">
        <f t="shared" si="2"/>
        <v>-1.5368464938916846</v>
      </c>
      <c r="I20" s="6"/>
      <c r="J20" s="6">
        <f t="shared" si="3"/>
        <v>0.1728882423557643</v>
      </c>
      <c r="K20" s="6"/>
    </row>
    <row r="21" spans="1:11" x14ac:dyDescent="0.3">
      <c r="A21" s="4" t="s">
        <v>20</v>
      </c>
      <c r="B21" s="4">
        <v>73.989999999999995</v>
      </c>
      <c r="C21" s="5">
        <v>8.41</v>
      </c>
      <c r="D21" s="6"/>
      <c r="E21" s="6"/>
      <c r="F21" s="6">
        <f t="shared" si="0"/>
        <v>-0.66420168067227081</v>
      </c>
      <c r="G21" s="6">
        <f t="shared" si="1"/>
        <v>-1.7561344537815557</v>
      </c>
      <c r="H21" s="6">
        <f t="shared" si="2"/>
        <v>1.1664274556881895</v>
      </c>
      <c r="I21" s="6"/>
      <c r="J21" s="6">
        <f t="shared" si="3"/>
        <v>0.44116387260786921</v>
      </c>
      <c r="K21" s="6"/>
    </row>
    <row r="22" spans="1:11" x14ac:dyDescent="0.3">
      <c r="A22" s="4" t="s">
        <v>21</v>
      </c>
      <c r="B22" s="4">
        <v>73.819999999999993</v>
      </c>
      <c r="C22" s="5">
        <v>7.86</v>
      </c>
      <c r="D22" s="6"/>
      <c r="E22" s="6"/>
      <c r="F22" s="6">
        <f t="shared" si="0"/>
        <v>-1.2142016806722706</v>
      </c>
      <c r="G22" s="6">
        <f t="shared" si="1"/>
        <v>-1.9261344537815575</v>
      </c>
      <c r="H22" s="6">
        <f t="shared" si="2"/>
        <v>2.3387156909823332</v>
      </c>
      <c r="I22" s="6"/>
      <c r="J22" s="6">
        <f t="shared" si="3"/>
        <v>1.4742857213473666</v>
      </c>
      <c r="K22" s="6"/>
    </row>
    <row r="23" spans="1:11" x14ac:dyDescent="0.3">
      <c r="A23" s="4" t="s">
        <v>22</v>
      </c>
      <c r="B23" s="4">
        <v>76.8</v>
      </c>
      <c r="C23" s="5">
        <v>4.8</v>
      </c>
      <c r="D23" s="6"/>
      <c r="E23" s="6"/>
      <c r="F23" s="6">
        <f t="shared" si="0"/>
        <v>-4.2742016806722711</v>
      </c>
      <c r="G23" s="6">
        <f t="shared" si="1"/>
        <v>1.0538655462184465</v>
      </c>
      <c r="H23" s="6">
        <f t="shared" si="2"/>
        <v>-4.5044338888494853</v>
      </c>
      <c r="I23" s="6"/>
      <c r="J23" s="6">
        <f t="shared" si="3"/>
        <v>18.268800007061667</v>
      </c>
      <c r="K23" s="6"/>
    </row>
    <row r="24" spans="1:11" x14ac:dyDescent="0.3">
      <c r="A24" s="4" t="s">
        <v>23</v>
      </c>
      <c r="B24" s="4">
        <v>70.77</v>
      </c>
      <c r="C24" s="5">
        <v>10.49</v>
      </c>
      <c r="D24" s="6"/>
      <c r="E24" s="6"/>
      <c r="F24" s="6">
        <f t="shared" si="0"/>
        <v>1.4157983193277293</v>
      </c>
      <c r="G24" s="6">
        <f t="shared" si="1"/>
        <v>-4.9761344537815546</v>
      </c>
      <c r="H24" s="6">
        <f t="shared" si="2"/>
        <v>-7.0452027964127328</v>
      </c>
      <c r="I24" s="6"/>
      <c r="J24" s="6">
        <f t="shared" si="3"/>
        <v>2.0044848810112228</v>
      </c>
      <c r="K24" s="6"/>
    </row>
    <row r="25" spans="1:11" x14ac:dyDescent="0.3">
      <c r="A25" s="4" t="s">
        <v>24</v>
      </c>
      <c r="B25" s="4">
        <v>71.03</v>
      </c>
      <c r="C25" s="5">
        <v>8.75</v>
      </c>
      <c r="D25" s="6"/>
      <c r="E25" s="6"/>
      <c r="F25" s="6">
        <f t="shared" si="0"/>
        <v>-0.32420168067227095</v>
      </c>
      <c r="G25" s="6">
        <f t="shared" si="1"/>
        <v>-4.7161344537815495</v>
      </c>
      <c r="H25" s="6">
        <f t="shared" si="2"/>
        <v>1.5289787161923809</v>
      </c>
      <c r="I25" s="6"/>
      <c r="J25" s="6">
        <f t="shared" si="3"/>
        <v>0.10510672975072514</v>
      </c>
      <c r="K25" s="6"/>
    </row>
    <row r="26" spans="1:11" x14ac:dyDescent="0.3">
      <c r="A26" s="4" t="s">
        <v>25</v>
      </c>
      <c r="B26" s="4">
        <v>79.03</v>
      </c>
      <c r="C26" s="5">
        <v>6.53</v>
      </c>
      <c r="D26" s="6"/>
      <c r="E26" s="6"/>
      <c r="F26" s="6">
        <f t="shared" si="0"/>
        <v>-2.5442016806722707</v>
      </c>
      <c r="G26" s="6">
        <f t="shared" si="1"/>
        <v>3.2838655462184505</v>
      </c>
      <c r="H26" s="6">
        <f t="shared" si="2"/>
        <v>-8.3548162417907452</v>
      </c>
      <c r="I26" s="6"/>
      <c r="J26" s="6">
        <f t="shared" si="3"/>
        <v>6.4729621919356068</v>
      </c>
      <c r="K26" s="6"/>
    </row>
    <row r="27" spans="1:11" x14ac:dyDescent="0.3">
      <c r="A27" s="4" t="s">
        <v>26</v>
      </c>
      <c r="B27" s="4">
        <v>77.69</v>
      </c>
      <c r="C27" s="5">
        <v>7.2</v>
      </c>
      <c r="D27" s="6"/>
      <c r="E27" s="6"/>
      <c r="F27" s="6">
        <f t="shared" si="0"/>
        <v>-1.8742016806722708</v>
      </c>
      <c r="G27" s="6">
        <f t="shared" si="1"/>
        <v>1.9438655462184471</v>
      </c>
      <c r="H27" s="6">
        <f t="shared" si="2"/>
        <v>-3.6431960737235354</v>
      </c>
      <c r="I27" s="6"/>
      <c r="J27" s="6">
        <f t="shared" si="3"/>
        <v>3.5126319398347645</v>
      </c>
      <c r="K27" s="6"/>
    </row>
    <row r="28" spans="1:11" x14ac:dyDescent="0.3">
      <c r="A28" s="4" t="s">
        <v>27</v>
      </c>
      <c r="B28" s="4">
        <v>83.75</v>
      </c>
      <c r="C28" s="5">
        <v>3.87</v>
      </c>
      <c r="D28" s="6"/>
      <c r="E28" s="6"/>
      <c r="F28" s="6">
        <f t="shared" si="0"/>
        <v>-5.2042016806722708</v>
      </c>
      <c r="G28" s="6">
        <f t="shared" si="1"/>
        <v>8.0038655462184494</v>
      </c>
      <c r="H28" s="6">
        <f t="shared" si="2"/>
        <v>-41.653730527504941</v>
      </c>
      <c r="I28" s="6"/>
      <c r="J28" s="6">
        <f t="shared" si="3"/>
        <v>27.08371513311209</v>
      </c>
      <c r="K28" s="6"/>
    </row>
    <row r="29" spans="1:11" x14ac:dyDescent="0.3">
      <c r="A29" s="4" t="s">
        <v>28</v>
      </c>
      <c r="B29" s="4">
        <v>78.09</v>
      </c>
      <c r="C29" s="5">
        <v>9.02</v>
      </c>
      <c r="D29" s="6"/>
      <c r="E29" s="6"/>
      <c r="F29" s="6">
        <f t="shared" si="0"/>
        <v>-5.420168067227138E-2</v>
      </c>
      <c r="G29" s="6">
        <f t="shared" si="1"/>
        <v>2.3438655462184528</v>
      </c>
      <c r="H29" s="6">
        <f t="shared" si="2"/>
        <v>-0.12704145187487151</v>
      </c>
      <c r="I29" s="6"/>
      <c r="J29" s="6">
        <f t="shared" si="3"/>
        <v>2.9378221876988769E-3</v>
      </c>
      <c r="K29" s="6"/>
    </row>
    <row r="30" spans="1:11" x14ac:dyDescent="0.3">
      <c r="A30" s="4" t="s">
        <v>29</v>
      </c>
      <c r="B30" s="4">
        <v>83.55</v>
      </c>
      <c r="C30" s="5">
        <v>4.01</v>
      </c>
      <c r="D30" s="6"/>
      <c r="E30" s="6"/>
      <c r="F30" s="6">
        <f t="shared" si="0"/>
        <v>-5.0642016806722712</v>
      </c>
      <c r="G30" s="6">
        <f t="shared" si="1"/>
        <v>7.8038655462184465</v>
      </c>
      <c r="H30" s="6">
        <f t="shared" si="2"/>
        <v>-39.520349014899885</v>
      </c>
      <c r="I30" s="6"/>
      <c r="J30" s="6">
        <f t="shared" si="3"/>
        <v>25.646138662523857</v>
      </c>
      <c r="K30" s="6"/>
    </row>
    <row r="31" spans="1:11" x14ac:dyDescent="0.3">
      <c r="A31" s="4" t="s">
        <v>30</v>
      </c>
      <c r="B31" s="4">
        <v>83.05</v>
      </c>
      <c r="C31" s="5">
        <v>2.34</v>
      </c>
      <c r="D31" s="6"/>
      <c r="E31" s="6"/>
      <c r="F31" s="6">
        <f t="shared" si="0"/>
        <v>-6.7342016806722711</v>
      </c>
      <c r="G31" s="6">
        <f t="shared" si="1"/>
        <v>7.3038655462184465</v>
      </c>
      <c r="H31" s="6">
        <f t="shared" si="2"/>
        <v>-49.185703636748556</v>
      </c>
      <c r="I31" s="6"/>
      <c r="J31" s="6">
        <f t="shared" si="3"/>
        <v>45.349472275969241</v>
      </c>
      <c r="K31" s="6"/>
    </row>
    <row r="32" spans="1:11" x14ac:dyDescent="0.3">
      <c r="A32" s="4" t="s">
        <v>31</v>
      </c>
      <c r="B32" s="4">
        <v>80.3</v>
      </c>
      <c r="C32" s="5">
        <v>4.3899999999999997</v>
      </c>
      <c r="D32" s="6"/>
      <c r="E32" s="6"/>
      <c r="F32" s="6">
        <f t="shared" si="0"/>
        <v>-4.6842016806722713</v>
      </c>
      <c r="G32" s="6">
        <f t="shared" si="1"/>
        <v>4.5538655462184465</v>
      </c>
      <c r="H32" s="6">
        <f t="shared" si="2"/>
        <v>-21.331224645151998</v>
      </c>
      <c r="I32" s="6"/>
      <c r="J32" s="6">
        <f t="shared" si="3"/>
        <v>21.941745385212929</v>
      </c>
      <c r="K32" s="6"/>
    </row>
    <row r="33" spans="1:11" x14ac:dyDescent="0.3">
      <c r="A33" s="4" t="s">
        <v>32</v>
      </c>
      <c r="B33" s="4">
        <v>76.03</v>
      </c>
      <c r="C33" s="5">
        <v>11.1</v>
      </c>
      <c r="D33" s="6"/>
      <c r="E33" s="6"/>
      <c r="F33" s="6">
        <f t="shared" si="0"/>
        <v>2.0257983193277287</v>
      </c>
      <c r="G33" s="6">
        <f t="shared" si="1"/>
        <v>0.2838655462184505</v>
      </c>
      <c r="H33" s="6">
        <f t="shared" si="2"/>
        <v>0.57505434644438469</v>
      </c>
      <c r="I33" s="6"/>
      <c r="J33" s="6">
        <f t="shared" si="3"/>
        <v>4.1038588305910499</v>
      </c>
      <c r="K33" s="6"/>
    </row>
    <row r="34" spans="1:11" x14ac:dyDescent="0.3">
      <c r="A34" s="4" t="s">
        <v>33</v>
      </c>
      <c r="B34" s="4">
        <v>75.010000000000005</v>
      </c>
      <c r="C34" s="5">
        <v>5.85</v>
      </c>
      <c r="D34" s="6"/>
      <c r="E34" s="6"/>
      <c r="F34" s="6">
        <f t="shared" si="0"/>
        <v>-3.2242016806722713</v>
      </c>
      <c r="G34" s="6">
        <f t="shared" si="1"/>
        <v>-0.73613445378154552</v>
      </c>
      <c r="H34" s="6">
        <f t="shared" si="2"/>
        <v>2.3734459430832233</v>
      </c>
      <c r="I34" s="6"/>
      <c r="J34" s="6">
        <f t="shared" si="3"/>
        <v>10.395476477649899</v>
      </c>
      <c r="K34" s="6"/>
    </row>
    <row r="35" spans="1:11" x14ac:dyDescent="0.3">
      <c r="A35" s="4" t="s">
        <v>34</v>
      </c>
      <c r="B35" s="4">
        <v>72.55</v>
      </c>
      <c r="C35" s="5">
        <v>10.68</v>
      </c>
      <c r="D35" s="6"/>
      <c r="E35" s="6"/>
      <c r="F35" s="6">
        <f t="shared" si="0"/>
        <v>1.6057983193277288</v>
      </c>
      <c r="G35" s="6">
        <f t="shared" si="1"/>
        <v>-3.1961344537815535</v>
      </c>
      <c r="H35" s="6">
        <f t="shared" si="2"/>
        <v>-5.1323473342278669</v>
      </c>
      <c r="I35" s="6"/>
      <c r="J35" s="6">
        <f t="shared" si="3"/>
        <v>2.5785882423557585</v>
      </c>
      <c r="K35" s="6"/>
    </row>
    <row r="36" spans="1:11" x14ac:dyDescent="0.3">
      <c r="A36" s="4" t="s">
        <v>35</v>
      </c>
      <c r="B36" s="4">
        <v>74.52</v>
      </c>
      <c r="C36" s="5">
        <v>11.95</v>
      </c>
      <c r="D36" s="6"/>
      <c r="E36" s="6"/>
      <c r="F36" s="6">
        <f t="shared" si="0"/>
        <v>2.8757983193277283</v>
      </c>
      <c r="G36" s="6">
        <f t="shared" si="1"/>
        <v>-1.2261344537815546</v>
      </c>
      <c r="H36" s="6">
        <f t="shared" si="2"/>
        <v>-3.5261154014548168</v>
      </c>
      <c r="I36" s="6"/>
      <c r="J36" s="6">
        <f t="shared" si="3"/>
        <v>8.2702159734481864</v>
      </c>
      <c r="K36" s="6"/>
    </row>
    <row r="37" spans="1:11" x14ac:dyDescent="0.3">
      <c r="A37" s="4" t="s">
        <v>36</v>
      </c>
      <c r="B37" s="4">
        <v>70.97</v>
      </c>
      <c r="C37" s="5">
        <v>14.18</v>
      </c>
      <c r="D37" s="6"/>
      <c r="E37" s="6"/>
      <c r="F37" s="6">
        <f t="shared" si="0"/>
        <v>5.1057983193277288</v>
      </c>
      <c r="G37" s="6">
        <f t="shared" si="1"/>
        <v>-4.7761344537815518</v>
      </c>
      <c r="H37" s="6">
        <f t="shared" si="2"/>
        <v>-24.385979267001108</v>
      </c>
      <c r="I37" s="6"/>
      <c r="J37" s="6">
        <f t="shared" si="3"/>
        <v>26.069176477649858</v>
      </c>
      <c r="K37" s="6"/>
    </row>
    <row r="38" spans="1:11" x14ac:dyDescent="0.3">
      <c r="A38" s="4" t="s">
        <v>37</v>
      </c>
      <c r="B38" s="4">
        <v>69.62</v>
      </c>
      <c r="C38" s="5">
        <v>14.71</v>
      </c>
      <c r="D38" s="6"/>
      <c r="E38" s="6"/>
      <c r="F38" s="6">
        <f t="shared" si="0"/>
        <v>5.6357983193277299</v>
      </c>
      <c r="G38" s="6">
        <f t="shared" si="1"/>
        <v>-6.1261344537815461</v>
      </c>
      <c r="H38" s="6">
        <f t="shared" si="2"/>
        <v>-34.525658258597737</v>
      </c>
      <c r="I38" s="6"/>
      <c r="J38" s="6">
        <f t="shared" si="3"/>
        <v>31.762222696137265</v>
      </c>
      <c r="K38" s="6"/>
    </row>
    <row r="39" spans="1:11" x14ac:dyDescent="0.3">
      <c r="A39" s="4" t="s">
        <v>38</v>
      </c>
      <c r="B39" s="4">
        <v>72.48</v>
      </c>
      <c r="C39" s="5">
        <v>15.71</v>
      </c>
      <c r="D39" s="6"/>
      <c r="E39" s="6"/>
      <c r="F39" s="6">
        <f t="shared" si="0"/>
        <v>6.6357983193277299</v>
      </c>
      <c r="G39" s="6">
        <f t="shared" si="1"/>
        <v>-3.2661344537815467</v>
      </c>
      <c r="H39" s="6">
        <f t="shared" si="2"/>
        <v>-21.67340951910198</v>
      </c>
      <c r="I39" s="6"/>
      <c r="J39" s="6">
        <f t="shared" si="3"/>
        <v>44.033819334792724</v>
      </c>
      <c r="K39" s="6"/>
    </row>
    <row r="40" spans="1:11" x14ac:dyDescent="0.3">
      <c r="A40" s="4" t="s">
        <v>39</v>
      </c>
      <c r="B40" s="4">
        <v>75.16</v>
      </c>
      <c r="C40" s="5">
        <v>10.87</v>
      </c>
      <c r="D40" s="6"/>
      <c r="E40" s="6"/>
      <c r="F40" s="6">
        <f t="shared" si="0"/>
        <v>1.7957983193277283</v>
      </c>
      <c r="G40" s="6">
        <f t="shared" si="1"/>
        <v>-0.58613445378155404</v>
      </c>
      <c r="H40" s="6">
        <f t="shared" si="2"/>
        <v>-1.0525792670009908</v>
      </c>
      <c r="I40" s="6"/>
      <c r="J40" s="6">
        <f t="shared" si="3"/>
        <v>3.2248916037002937</v>
      </c>
      <c r="K40" s="6"/>
    </row>
    <row r="41" spans="1:11" x14ac:dyDescent="0.3">
      <c r="A41" s="4" t="s">
        <v>40</v>
      </c>
      <c r="B41" s="4">
        <v>70.63</v>
      </c>
      <c r="C41" s="5">
        <v>15.28</v>
      </c>
      <c r="D41" s="6"/>
      <c r="E41" s="6"/>
      <c r="F41" s="6">
        <f t="shared" si="0"/>
        <v>6.2057983193277284</v>
      </c>
      <c r="G41" s="6">
        <f t="shared" si="1"/>
        <v>-5.1161344537815552</v>
      </c>
      <c r="H41" s="6">
        <f t="shared" si="2"/>
        <v>-31.749698594732262</v>
      </c>
      <c r="I41" s="6"/>
      <c r="J41" s="6">
        <f t="shared" si="3"/>
        <v>38.511932780170859</v>
      </c>
      <c r="K41" s="6"/>
    </row>
    <row r="42" spans="1:11" x14ac:dyDescent="0.3">
      <c r="A42" s="4" t="s">
        <v>41</v>
      </c>
      <c r="B42" s="4">
        <v>72.099999999999994</v>
      </c>
      <c r="C42" s="5">
        <v>10.83</v>
      </c>
      <c r="D42" s="6"/>
      <c r="E42" s="6"/>
      <c r="F42" s="6">
        <f t="shared" si="0"/>
        <v>1.7557983193277291</v>
      </c>
      <c r="G42" s="6">
        <f t="shared" si="1"/>
        <v>-3.6461344537815563</v>
      </c>
      <c r="H42" s="6">
        <f t="shared" si="2"/>
        <v>-6.4018767459925838</v>
      </c>
      <c r="I42" s="6"/>
      <c r="J42" s="6">
        <f t="shared" si="3"/>
        <v>3.0828277381540783</v>
      </c>
      <c r="K42" s="6"/>
    </row>
    <row r="43" spans="1:11" x14ac:dyDescent="0.3">
      <c r="A43" s="4" t="s">
        <v>42</v>
      </c>
      <c r="B43" s="4">
        <v>75.959999999999994</v>
      </c>
      <c r="C43" s="5">
        <v>9.6300000000000008</v>
      </c>
      <c r="D43" s="6"/>
      <c r="E43" s="6"/>
      <c r="F43" s="6">
        <f t="shared" si="0"/>
        <v>0.55579831932772983</v>
      </c>
      <c r="G43" s="6">
        <f t="shared" si="1"/>
        <v>0.21386554621844311</v>
      </c>
      <c r="H43" s="6">
        <f t="shared" si="2"/>
        <v>0.1188661111503176</v>
      </c>
      <c r="I43" s="6"/>
      <c r="J43" s="6">
        <f t="shared" si="3"/>
        <v>0.30891177176752915</v>
      </c>
      <c r="K43" s="6"/>
    </row>
    <row r="44" spans="1:11" x14ac:dyDescent="0.3">
      <c r="A44" s="4" t="s">
        <v>43</v>
      </c>
      <c r="B44" s="4">
        <v>78.16</v>
      </c>
      <c r="C44" s="5">
        <v>12.04</v>
      </c>
      <c r="D44" s="6"/>
      <c r="E44" s="6"/>
      <c r="F44" s="6">
        <f t="shared" si="0"/>
        <v>2.9657983193277282</v>
      </c>
      <c r="G44" s="6">
        <f t="shared" si="1"/>
        <v>2.413865546218446</v>
      </c>
      <c r="H44" s="6">
        <f t="shared" si="2"/>
        <v>7.1590383800577753</v>
      </c>
      <c r="I44" s="6"/>
      <c r="J44" s="6">
        <f t="shared" si="3"/>
        <v>8.7959596709271768</v>
      </c>
      <c r="K44" s="6"/>
    </row>
    <row r="45" spans="1:11" x14ac:dyDescent="0.3">
      <c r="A45" s="4" t="s">
        <v>44</v>
      </c>
      <c r="B45" s="4">
        <v>79.3</v>
      </c>
      <c r="C45" s="5">
        <v>7.47</v>
      </c>
      <c r="D45" s="6"/>
      <c r="E45" s="6"/>
      <c r="F45" s="6">
        <f t="shared" si="0"/>
        <v>-1.6042016806722712</v>
      </c>
      <c r="G45" s="6">
        <f t="shared" si="1"/>
        <v>3.5538655462184465</v>
      </c>
      <c r="H45" s="6">
        <f t="shared" si="2"/>
        <v>-5.7011170821269106</v>
      </c>
      <c r="I45" s="6"/>
      <c r="J45" s="6">
        <f t="shared" si="3"/>
        <v>2.5734630322717398</v>
      </c>
      <c r="K45" s="6"/>
    </row>
    <row r="46" spans="1:11" x14ac:dyDescent="0.3">
      <c r="A46" s="4" t="s">
        <v>45</v>
      </c>
      <c r="B46" s="4">
        <v>72.540000000000006</v>
      </c>
      <c r="C46" s="5">
        <v>10.71</v>
      </c>
      <c r="D46" s="6"/>
      <c r="E46" s="6"/>
      <c r="F46" s="6">
        <f t="shared" si="0"/>
        <v>1.6357983193277299</v>
      </c>
      <c r="G46" s="6">
        <f t="shared" si="1"/>
        <v>-3.2061344537815444</v>
      </c>
      <c r="H46" s="6">
        <f t="shared" si="2"/>
        <v>-5.2445893510345796</v>
      </c>
      <c r="I46" s="6"/>
      <c r="J46" s="6">
        <f t="shared" si="3"/>
        <v>2.6758361415154259</v>
      </c>
      <c r="K46" s="6"/>
    </row>
    <row r="47" spans="1:11" x14ac:dyDescent="0.3">
      <c r="A47" s="4" t="s">
        <v>46</v>
      </c>
      <c r="B47" s="4">
        <v>78.11</v>
      </c>
      <c r="C47" s="5">
        <v>9.59</v>
      </c>
      <c r="D47" s="6"/>
      <c r="E47" s="6"/>
      <c r="F47" s="6">
        <f t="shared" si="0"/>
        <v>0.5157983193277289</v>
      </c>
      <c r="G47" s="6">
        <f t="shared" si="1"/>
        <v>2.3638655462184488</v>
      </c>
      <c r="H47" s="6">
        <f t="shared" si="2"/>
        <v>1.2192778758561997</v>
      </c>
      <c r="I47" s="6"/>
      <c r="J47" s="6">
        <f t="shared" si="3"/>
        <v>0.2660479062213098</v>
      </c>
      <c r="K47" s="6"/>
    </row>
    <row r="48" spans="1:11" x14ac:dyDescent="0.3">
      <c r="A48" s="4" t="s">
        <v>47</v>
      </c>
      <c r="B48" s="4">
        <v>75.53</v>
      </c>
      <c r="C48" s="5">
        <v>12.41</v>
      </c>
      <c r="D48" s="6"/>
      <c r="E48" s="6"/>
      <c r="F48" s="6">
        <f t="shared" si="0"/>
        <v>3.3357983193277292</v>
      </c>
      <c r="G48" s="6">
        <f t="shared" si="1"/>
        <v>-0.2161344537815495</v>
      </c>
      <c r="H48" s="6">
        <f t="shared" si="2"/>
        <v>-0.72098094767330956</v>
      </c>
      <c r="I48" s="6"/>
      <c r="J48" s="6">
        <f t="shared" si="3"/>
        <v>11.127550427229703</v>
      </c>
      <c r="K48" s="6"/>
    </row>
    <row r="49" spans="1:11" x14ac:dyDescent="0.3">
      <c r="A49" s="4" t="s">
        <v>48</v>
      </c>
      <c r="B49" s="4">
        <v>72.02</v>
      </c>
      <c r="C49" s="5">
        <v>11.43</v>
      </c>
      <c r="D49" s="6"/>
      <c r="E49" s="6"/>
      <c r="F49" s="6">
        <f t="shared" si="0"/>
        <v>2.3557983193277288</v>
      </c>
      <c r="G49" s="6">
        <f t="shared" si="1"/>
        <v>-3.7261344537815546</v>
      </c>
      <c r="H49" s="6">
        <f t="shared" si="2"/>
        <v>-8.7780212838077318</v>
      </c>
      <c r="I49" s="6"/>
      <c r="J49" s="6">
        <f t="shared" si="3"/>
        <v>5.5497857213473516</v>
      </c>
      <c r="K49" s="6"/>
    </row>
    <row r="50" spans="1:11" x14ac:dyDescent="0.3">
      <c r="A50" s="4" t="s">
        <v>49</v>
      </c>
      <c r="B50" s="4">
        <v>71.42</v>
      </c>
      <c r="C50" s="5">
        <v>11.42</v>
      </c>
      <c r="D50" s="6"/>
      <c r="E50" s="6"/>
      <c r="F50" s="6">
        <f t="shared" si="0"/>
        <v>2.345798319327729</v>
      </c>
      <c r="G50" s="6">
        <f t="shared" si="1"/>
        <v>-4.3261344537815489</v>
      </c>
      <c r="H50" s="6">
        <f t="shared" si="2"/>
        <v>-10.14823893086654</v>
      </c>
      <c r="I50" s="6"/>
      <c r="J50" s="6">
        <f t="shared" si="3"/>
        <v>5.5027697549607977</v>
      </c>
      <c r="K50" s="6"/>
    </row>
    <row r="51" spans="1:11" x14ac:dyDescent="0.3">
      <c r="A51" s="4" t="s">
        <v>50</v>
      </c>
      <c r="B51" s="4">
        <v>72.53</v>
      </c>
      <c r="C51" s="5">
        <v>14.02</v>
      </c>
      <c r="D51" s="6"/>
      <c r="E51" s="6"/>
      <c r="F51" s="6">
        <f t="shared" si="0"/>
        <v>4.9457983193277286</v>
      </c>
      <c r="G51" s="6">
        <f t="shared" si="1"/>
        <v>-3.2161344537815495</v>
      </c>
      <c r="H51" s="6">
        <f t="shared" si="2"/>
        <v>-15.90635237624479</v>
      </c>
      <c r="I51" s="6"/>
      <c r="J51" s="6">
        <f t="shared" si="3"/>
        <v>24.460921015464987</v>
      </c>
      <c r="K51" s="6"/>
    </row>
    <row r="52" spans="1:11" x14ac:dyDescent="0.3">
      <c r="A52" s="4" t="s">
        <v>51</v>
      </c>
      <c r="B52" s="4">
        <v>74.099999999999994</v>
      </c>
      <c r="C52" s="5">
        <v>9.17</v>
      </c>
      <c r="D52" s="6"/>
      <c r="E52" s="6"/>
      <c r="F52" s="6">
        <f t="shared" si="0"/>
        <v>9.5798319327728976E-2</v>
      </c>
      <c r="G52" s="6">
        <f t="shared" si="1"/>
        <v>-1.6461344537815563</v>
      </c>
      <c r="H52" s="6">
        <f t="shared" si="2"/>
        <v>-0.15769691405974226</v>
      </c>
      <c r="I52" s="6"/>
      <c r="J52" s="6">
        <f t="shared" si="3"/>
        <v>9.1773179860175306E-3</v>
      </c>
      <c r="K52" s="6"/>
    </row>
    <row r="53" spans="1:11" x14ac:dyDescent="0.3">
      <c r="A53" s="4" t="s">
        <v>52</v>
      </c>
      <c r="B53" s="4">
        <v>77.209999999999994</v>
      </c>
      <c r="C53" s="5">
        <v>7.23</v>
      </c>
      <c r="D53" s="6"/>
      <c r="E53" s="6"/>
      <c r="F53" s="6">
        <f t="shared" si="0"/>
        <v>-1.8442016806722705</v>
      </c>
      <c r="G53" s="6">
        <f t="shared" si="1"/>
        <v>1.4638655462184431</v>
      </c>
      <c r="H53" s="6">
        <f t="shared" si="2"/>
        <v>-2.6996633006142843</v>
      </c>
      <c r="I53" s="6"/>
      <c r="J53" s="6">
        <f t="shared" si="3"/>
        <v>3.4010798389944275</v>
      </c>
      <c r="K53" s="6"/>
    </row>
    <row r="54" spans="1:11" x14ac:dyDescent="0.3">
      <c r="A54" s="4" t="s">
        <v>53</v>
      </c>
      <c r="B54" s="4">
        <v>74.319999999999993</v>
      </c>
      <c r="C54" s="5">
        <v>6.09</v>
      </c>
      <c r="D54" s="6"/>
      <c r="E54" s="6"/>
      <c r="F54" s="6">
        <f t="shared" si="0"/>
        <v>-2.9842016806722711</v>
      </c>
      <c r="G54" s="6">
        <f t="shared" si="1"/>
        <v>-1.4261344537815575</v>
      </c>
      <c r="H54" s="6">
        <f t="shared" si="2"/>
        <v>4.2558728338395548</v>
      </c>
      <c r="I54" s="6"/>
      <c r="J54" s="6">
        <f t="shared" si="3"/>
        <v>8.9054596709272076</v>
      </c>
      <c r="K54" s="6"/>
    </row>
    <row r="55" spans="1:11" x14ac:dyDescent="0.3">
      <c r="A55" s="4" t="s">
        <v>54</v>
      </c>
      <c r="B55" s="4">
        <v>74.569999999999993</v>
      </c>
      <c r="C55" s="5">
        <v>11.89</v>
      </c>
      <c r="D55" s="6"/>
      <c r="E55" s="6"/>
      <c r="F55" s="6">
        <f t="shared" si="0"/>
        <v>2.8157983193277296</v>
      </c>
      <c r="G55" s="6">
        <f t="shared" si="1"/>
        <v>-1.1761344537815575</v>
      </c>
      <c r="H55" s="6">
        <f t="shared" si="2"/>
        <v>-3.3117574182615468</v>
      </c>
      <c r="I55" s="6"/>
      <c r="J55" s="6">
        <f t="shared" si="3"/>
        <v>7.9287201751288672</v>
      </c>
      <c r="K55" s="6"/>
    </row>
    <row r="56" spans="1:11" x14ac:dyDescent="0.3">
      <c r="A56" s="4" t="s">
        <v>55</v>
      </c>
      <c r="B56" s="4">
        <v>75.67</v>
      </c>
      <c r="C56" s="5">
        <v>6.96</v>
      </c>
      <c r="D56" s="6"/>
      <c r="E56" s="6"/>
      <c r="F56" s="6">
        <f t="shared" si="0"/>
        <v>-2.114201680672271</v>
      </c>
      <c r="G56" s="6">
        <f t="shared" si="1"/>
        <v>-7.6134453781548928E-2</v>
      </c>
      <c r="H56" s="6">
        <f t="shared" si="2"/>
        <v>0.16096359014201608</v>
      </c>
      <c r="I56" s="6"/>
      <c r="J56" s="6">
        <f t="shared" si="3"/>
        <v>4.4698487465574557</v>
      </c>
      <c r="K56" s="6"/>
    </row>
    <row r="57" spans="1:11" x14ac:dyDescent="0.3">
      <c r="A57" s="4" t="s">
        <v>56</v>
      </c>
      <c r="B57" s="4">
        <v>71.86</v>
      </c>
      <c r="C57" s="5">
        <v>8.67</v>
      </c>
      <c r="D57" s="6"/>
      <c r="E57" s="6"/>
      <c r="F57" s="6">
        <f t="shared" si="0"/>
        <v>-0.40420168067227102</v>
      </c>
      <c r="G57" s="6">
        <f t="shared" si="1"/>
        <v>-3.8861344537815512</v>
      </c>
      <c r="H57" s="6">
        <f t="shared" si="2"/>
        <v>1.570782077536921</v>
      </c>
      <c r="I57" s="6"/>
      <c r="J57" s="6">
        <f t="shared" si="3"/>
        <v>0.16337899865828856</v>
      </c>
      <c r="K57" s="6"/>
    </row>
    <row r="58" spans="1:11" x14ac:dyDescent="0.3">
      <c r="A58" s="4" t="s">
        <v>57</v>
      </c>
      <c r="B58" s="4">
        <v>74.34</v>
      </c>
      <c r="C58" s="5">
        <v>9.35</v>
      </c>
      <c r="D58" s="6"/>
      <c r="E58" s="6"/>
      <c r="F58" s="6">
        <f t="shared" si="0"/>
        <v>0.27579831932772869</v>
      </c>
      <c r="G58" s="6">
        <f t="shared" si="1"/>
        <v>-1.4061344537815472</v>
      </c>
      <c r="H58" s="6">
        <f t="shared" si="2"/>
        <v>-0.38780951910176453</v>
      </c>
      <c r="I58" s="6"/>
      <c r="J58" s="6">
        <f t="shared" si="3"/>
        <v>7.6064712943999802E-2</v>
      </c>
      <c r="K58" s="6"/>
    </row>
    <row r="59" spans="1:11" x14ac:dyDescent="0.3">
      <c r="A59" s="4" t="s">
        <v>58</v>
      </c>
      <c r="B59" s="4">
        <v>70.73</v>
      </c>
      <c r="C59" s="5">
        <v>8.73</v>
      </c>
      <c r="D59" s="6"/>
      <c r="E59" s="6"/>
      <c r="F59" s="6">
        <f t="shared" si="0"/>
        <v>-0.34420168067227053</v>
      </c>
      <c r="G59" s="6">
        <f t="shared" si="1"/>
        <v>-5.0161344537815467</v>
      </c>
      <c r="H59" s="6">
        <f t="shared" si="2"/>
        <v>1.72656190946969</v>
      </c>
      <c r="I59" s="6"/>
      <c r="J59" s="6">
        <f t="shared" si="3"/>
        <v>0.11847479697761569</v>
      </c>
      <c r="K59" s="6"/>
    </row>
    <row r="60" spans="1:11" x14ac:dyDescent="0.3">
      <c r="A60" s="4" t="s">
        <v>59</v>
      </c>
      <c r="B60" s="4">
        <v>71.95</v>
      </c>
      <c r="C60" s="5">
        <v>8.9499999999999993</v>
      </c>
      <c r="D60" s="6"/>
      <c r="E60" s="6"/>
      <c r="F60" s="6">
        <f t="shared" si="0"/>
        <v>-0.12420168067227166</v>
      </c>
      <c r="G60" s="6">
        <f t="shared" si="1"/>
        <v>-3.7961344537815478</v>
      </c>
      <c r="H60" s="6">
        <f t="shared" si="2"/>
        <v>0.47148627921758424</v>
      </c>
      <c r="I60" s="6"/>
      <c r="J60" s="6">
        <f t="shared" si="3"/>
        <v>1.542605748181694E-2</v>
      </c>
      <c r="K60" s="6"/>
    </row>
    <row r="61" spans="1:11" x14ac:dyDescent="0.3">
      <c r="A61" s="4" t="s">
        <v>60</v>
      </c>
      <c r="B61" s="4">
        <v>68.650000000000006</v>
      </c>
      <c r="C61" s="5">
        <v>14.92</v>
      </c>
      <c r="D61" s="6"/>
      <c r="E61" s="6"/>
      <c r="F61" s="6">
        <f t="shared" si="0"/>
        <v>5.845798319327729</v>
      </c>
      <c r="G61" s="6">
        <f t="shared" si="1"/>
        <v>-7.0961344537815449</v>
      </c>
      <c r="H61" s="6">
        <f t="shared" si="2"/>
        <v>-41.482570863639751</v>
      </c>
      <c r="I61" s="6"/>
      <c r="J61" s="6">
        <f t="shared" si="3"/>
        <v>34.1733579902549</v>
      </c>
      <c r="K61" s="6"/>
    </row>
    <row r="62" spans="1:11" x14ac:dyDescent="0.3">
      <c r="A62" s="4" t="s">
        <v>61</v>
      </c>
      <c r="B62" s="4">
        <v>71.7</v>
      </c>
      <c r="C62" s="5">
        <v>6.81</v>
      </c>
      <c r="D62" s="6"/>
      <c r="E62" s="6"/>
      <c r="F62" s="6">
        <f t="shared" si="0"/>
        <v>-2.2642016806722713</v>
      </c>
      <c r="G62" s="6">
        <f t="shared" si="1"/>
        <v>-4.0461344537815478</v>
      </c>
      <c r="H62" s="6">
        <f t="shared" si="2"/>
        <v>9.1612644304781625</v>
      </c>
      <c r="I62" s="6"/>
      <c r="J62" s="6">
        <f t="shared" si="3"/>
        <v>5.1266092507591381</v>
      </c>
      <c r="K62" s="6"/>
    </row>
    <row r="63" spans="1:11" x14ac:dyDescent="0.3">
      <c r="A63" s="4" t="s">
        <v>62</v>
      </c>
      <c r="B63" s="4">
        <v>70.180000000000007</v>
      </c>
      <c r="C63" s="5">
        <v>15.6</v>
      </c>
      <c r="D63" s="6"/>
      <c r="E63" s="6"/>
      <c r="F63" s="6">
        <f t="shared" si="0"/>
        <v>6.5257983193277287</v>
      </c>
      <c r="G63" s="6">
        <f t="shared" si="1"/>
        <v>-5.5661344537815438</v>
      </c>
      <c r="H63" s="6">
        <f t="shared" si="2"/>
        <v>-36.323470863639763</v>
      </c>
      <c r="I63" s="6"/>
      <c r="J63" s="6">
        <f t="shared" si="3"/>
        <v>42.586043704540607</v>
      </c>
      <c r="K63" s="6"/>
    </row>
    <row r="64" spans="1:11" x14ac:dyDescent="0.3">
      <c r="A64" s="4" t="s">
        <v>63</v>
      </c>
      <c r="B64" s="4">
        <v>82.15</v>
      </c>
      <c r="C64" s="5">
        <v>5.94</v>
      </c>
      <c r="D64" s="6"/>
      <c r="E64" s="6"/>
      <c r="F64" s="6">
        <f t="shared" si="0"/>
        <v>-3.1342016806722706</v>
      </c>
      <c r="G64" s="6">
        <f t="shared" si="1"/>
        <v>6.4038655462184551</v>
      </c>
      <c r="H64" s="6">
        <f t="shared" si="2"/>
        <v>-20.071006157757129</v>
      </c>
      <c r="I64" s="6"/>
      <c r="J64" s="6">
        <f t="shared" si="3"/>
        <v>9.8232201751288848</v>
      </c>
      <c r="K64" s="6"/>
    </row>
    <row r="65" spans="1:11" x14ac:dyDescent="0.3">
      <c r="A65" s="4" t="s">
        <v>64</v>
      </c>
      <c r="B65" s="4">
        <v>84.41</v>
      </c>
      <c r="C65" s="5">
        <v>8.31</v>
      </c>
      <c r="D65" s="6"/>
      <c r="E65" s="6"/>
      <c r="F65" s="6">
        <f t="shared" si="0"/>
        <v>-0.76420168067227046</v>
      </c>
      <c r="G65" s="6">
        <f t="shared" si="1"/>
        <v>8.663865546218446</v>
      </c>
      <c r="H65" s="6">
        <f t="shared" si="2"/>
        <v>-6.6209406115387148</v>
      </c>
      <c r="I65" s="6"/>
      <c r="J65" s="6">
        <f t="shared" si="3"/>
        <v>0.58400420874232284</v>
      </c>
      <c r="K65" s="6"/>
    </row>
    <row r="66" spans="1:11" x14ac:dyDescent="0.3">
      <c r="A66" s="4" t="s">
        <v>65</v>
      </c>
      <c r="B66" s="4">
        <v>85.72</v>
      </c>
      <c r="C66" s="5">
        <v>4.57</v>
      </c>
      <c r="D66" s="6"/>
      <c r="E66" s="6"/>
      <c r="F66" s="6">
        <f t="shared" si="0"/>
        <v>-4.5042016806722707</v>
      </c>
      <c r="G66" s="6">
        <f t="shared" si="1"/>
        <v>9.9738655462184482</v>
      </c>
      <c r="H66" s="6">
        <f t="shared" si="2"/>
        <v>-44.924301956076391</v>
      </c>
      <c r="I66" s="6"/>
      <c r="J66" s="6">
        <f t="shared" si="3"/>
        <v>20.287832780170909</v>
      </c>
      <c r="K66" s="6"/>
    </row>
    <row r="67" spans="1:11" x14ac:dyDescent="0.3">
      <c r="A67" s="4" t="s">
        <v>66</v>
      </c>
      <c r="B67" s="4">
        <v>85.24</v>
      </c>
      <c r="C67" s="5">
        <v>4.03</v>
      </c>
      <c r="D67" s="6"/>
      <c r="E67" s="6"/>
      <c r="F67" s="6">
        <f t="shared" ref="F67:F120" si="4">C67-$E$2</f>
        <v>-5.0442016806722707</v>
      </c>
      <c r="G67" s="6">
        <f t="shared" ref="G67:G120" si="5">B67-$D$2</f>
        <v>9.4938655462184443</v>
      </c>
      <c r="H67" s="6">
        <f t="shared" ref="H67:H120" si="6">F67*G67</f>
        <v>-47.888972544311642</v>
      </c>
      <c r="I67" s="6"/>
      <c r="J67" s="6">
        <f t="shared" ref="J67:J120" si="7">F67^2</f>
        <v>25.44397059529696</v>
      </c>
      <c r="K67" s="6"/>
    </row>
    <row r="68" spans="1:11" x14ac:dyDescent="0.3">
      <c r="A68" s="4" t="s">
        <v>67</v>
      </c>
      <c r="B68" s="4">
        <v>77.209999999999994</v>
      </c>
      <c r="C68" s="5">
        <v>6.71</v>
      </c>
      <c r="D68" s="6"/>
      <c r="E68" s="6"/>
      <c r="F68" s="6">
        <f t="shared" si="4"/>
        <v>-2.364201680672271</v>
      </c>
      <c r="G68" s="6">
        <f t="shared" si="5"/>
        <v>1.4638655462184431</v>
      </c>
      <c r="H68" s="6">
        <f t="shared" si="6"/>
        <v>-3.4608733846478752</v>
      </c>
      <c r="I68" s="6"/>
      <c r="J68" s="6">
        <f t="shared" si="7"/>
        <v>5.5894495868935907</v>
      </c>
      <c r="K68" s="6"/>
    </row>
    <row r="69" spans="1:11" x14ac:dyDescent="0.3">
      <c r="A69" s="4" t="s">
        <v>68</v>
      </c>
      <c r="B69" s="4">
        <v>77.5</v>
      </c>
      <c r="C69" s="5">
        <v>7.64</v>
      </c>
      <c r="D69" s="6"/>
      <c r="E69" s="6"/>
      <c r="F69" s="6">
        <f t="shared" si="4"/>
        <v>-1.4342016806722713</v>
      </c>
      <c r="G69" s="6">
        <f t="shared" si="5"/>
        <v>1.7538655462184494</v>
      </c>
      <c r="H69" s="6">
        <f t="shared" si="6"/>
        <v>-2.515396914059691</v>
      </c>
      <c r="I69" s="6"/>
      <c r="J69" s="6">
        <f t="shared" si="7"/>
        <v>2.0569344608431677</v>
      </c>
      <c r="K69" s="6"/>
    </row>
    <row r="70" spans="1:11" x14ac:dyDescent="0.3">
      <c r="A70" s="4" t="s">
        <v>69</v>
      </c>
      <c r="B70" s="4">
        <v>76.180000000000007</v>
      </c>
      <c r="C70" s="5">
        <v>15.62</v>
      </c>
      <c r="D70" s="6"/>
      <c r="E70" s="6"/>
      <c r="F70" s="6">
        <f t="shared" si="4"/>
        <v>6.5457983193277283</v>
      </c>
      <c r="G70" s="6">
        <f t="shared" si="5"/>
        <v>0.43386554621845619</v>
      </c>
      <c r="H70" s="6">
        <f t="shared" si="6"/>
        <v>2.8399963632509775</v>
      </c>
      <c r="I70" s="6"/>
      <c r="J70" s="6">
        <f t="shared" si="7"/>
        <v>42.847475637313714</v>
      </c>
      <c r="K70" s="6"/>
    </row>
    <row r="71" spans="1:11" x14ac:dyDescent="0.3">
      <c r="A71" s="4" t="s">
        <v>70</v>
      </c>
      <c r="B71" s="4">
        <v>82.05</v>
      </c>
      <c r="C71" s="5">
        <v>11.66</v>
      </c>
      <c r="D71" s="6"/>
      <c r="E71" s="6"/>
      <c r="F71" s="6">
        <f t="shared" si="4"/>
        <v>2.5857983193277292</v>
      </c>
      <c r="G71" s="6">
        <f t="shared" si="5"/>
        <v>6.3038655462184465</v>
      </c>
      <c r="H71" s="6">
        <f t="shared" si="6"/>
        <v>16.300524934679636</v>
      </c>
      <c r="I71" s="6"/>
      <c r="J71" s="6">
        <f t="shared" si="7"/>
        <v>6.6863529482381088</v>
      </c>
      <c r="K71" s="6"/>
    </row>
    <row r="72" spans="1:11" x14ac:dyDescent="0.3">
      <c r="A72" s="4" t="s">
        <v>71</v>
      </c>
      <c r="B72" s="4">
        <v>72.14</v>
      </c>
      <c r="C72" s="5">
        <v>15.18</v>
      </c>
      <c r="D72" s="6"/>
      <c r="E72" s="6"/>
      <c r="F72" s="6">
        <f t="shared" si="4"/>
        <v>6.1057983193277288</v>
      </c>
      <c r="G72" s="6">
        <f t="shared" si="5"/>
        <v>-3.6061344537815501</v>
      </c>
      <c r="H72" s="6">
        <f t="shared" si="6"/>
        <v>-22.018329687169206</v>
      </c>
      <c r="I72" s="6"/>
      <c r="J72" s="6">
        <f t="shared" si="7"/>
        <v>37.280773116305319</v>
      </c>
      <c r="K72" s="6"/>
    </row>
    <row r="73" spans="1:11" x14ac:dyDescent="0.3">
      <c r="A73" s="4" t="s">
        <v>72</v>
      </c>
      <c r="B73" s="4">
        <v>85.71</v>
      </c>
      <c r="C73" s="5">
        <v>7.46</v>
      </c>
      <c r="D73" s="6"/>
      <c r="E73" s="6"/>
      <c r="F73" s="6">
        <f t="shared" si="4"/>
        <v>-1.614201680672271</v>
      </c>
      <c r="G73" s="6">
        <f t="shared" si="5"/>
        <v>9.9638655462184431</v>
      </c>
      <c r="H73" s="6">
        <f t="shared" si="6"/>
        <v>-16.083688510698348</v>
      </c>
      <c r="I73" s="6"/>
      <c r="J73" s="6">
        <f t="shared" si="7"/>
        <v>2.6056470658851842</v>
      </c>
      <c r="K73" s="6"/>
    </row>
    <row r="74" spans="1:11" x14ac:dyDescent="0.3">
      <c r="A74" s="4" t="s">
        <v>73</v>
      </c>
      <c r="B74" s="4">
        <v>89.1</v>
      </c>
      <c r="C74" s="5">
        <v>6.26</v>
      </c>
      <c r="D74" s="6"/>
      <c r="E74" s="6"/>
      <c r="F74" s="6">
        <f t="shared" si="4"/>
        <v>-2.8142016806722712</v>
      </c>
      <c r="G74" s="6">
        <f t="shared" si="5"/>
        <v>13.353865546218444</v>
      </c>
      <c r="H74" s="6">
        <f t="shared" si="6"/>
        <v>-37.580470863639484</v>
      </c>
      <c r="I74" s="6"/>
      <c r="J74" s="6">
        <f t="shared" si="7"/>
        <v>7.9197310994986356</v>
      </c>
      <c r="K74" s="6"/>
    </row>
    <row r="75" spans="1:11" x14ac:dyDescent="0.3">
      <c r="A75" s="4" t="s">
        <v>74</v>
      </c>
      <c r="B75" s="4">
        <v>71.489999999999995</v>
      </c>
      <c r="C75" s="5">
        <v>13.08</v>
      </c>
      <c r="D75" s="6"/>
      <c r="E75" s="6"/>
      <c r="F75" s="6">
        <f t="shared" si="4"/>
        <v>4.0057983193277291</v>
      </c>
      <c r="G75" s="6">
        <f t="shared" si="5"/>
        <v>-4.2561344537815557</v>
      </c>
      <c r="H75" s="6">
        <f t="shared" si="6"/>
        <v>-17.049216241790997</v>
      </c>
      <c r="I75" s="6"/>
      <c r="J75" s="6">
        <f t="shared" si="7"/>
        <v>16.046420175128858</v>
      </c>
      <c r="K75" s="6"/>
    </row>
    <row r="76" spans="1:11" x14ac:dyDescent="0.3">
      <c r="A76" s="4" t="s">
        <v>75</v>
      </c>
      <c r="B76" s="4">
        <v>73.7</v>
      </c>
      <c r="C76" s="5">
        <v>9.11</v>
      </c>
      <c r="D76" s="6"/>
      <c r="E76" s="6"/>
      <c r="F76" s="6">
        <f t="shared" si="4"/>
        <v>3.5798319327728478E-2</v>
      </c>
      <c r="G76" s="6">
        <f t="shared" si="5"/>
        <v>-2.0461344537815478</v>
      </c>
      <c r="H76" s="6">
        <f t="shared" si="6"/>
        <v>-7.3248174563939131E-2</v>
      </c>
      <c r="I76" s="6"/>
      <c r="J76" s="6">
        <f t="shared" si="7"/>
        <v>1.2815196666900184E-3</v>
      </c>
      <c r="K76" s="6"/>
    </row>
    <row r="77" spans="1:11" x14ac:dyDescent="0.3">
      <c r="A77" s="4" t="s">
        <v>76</v>
      </c>
      <c r="B77" s="4">
        <v>72.47</v>
      </c>
      <c r="C77" s="5">
        <v>10.5</v>
      </c>
      <c r="D77" s="6"/>
      <c r="E77" s="6"/>
      <c r="F77" s="6">
        <f t="shared" si="4"/>
        <v>1.425798319327729</v>
      </c>
      <c r="G77" s="6">
        <f t="shared" si="5"/>
        <v>-3.2761344537815518</v>
      </c>
      <c r="H77" s="6">
        <f t="shared" si="6"/>
        <v>-4.6711069980934043</v>
      </c>
      <c r="I77" s="6"/>
      <c r="J77" s="6">
        <f t="shared" si="7"/>
        <v>2.032900847397777</v>
      </c>
      <c r="K77" s="6"/>
    </row>
    <row r="78" spans="1:11" x14ac:dyDescent="0.3">
      <c r="A78" s="4" t="s">
        <v>77</v>
      </c>
      <c r="B78" s="4">
        <v>75.13</v>
      </c>
      <c r="C78" s="5">
        <v>6.28</v>
      </c>
      <c r="D78" s="6"/>
      <c r="E78" s="6"/>
      <c r="F78" s="6">
        <f t="shared" si="4"/>
        <v>-2.7942016806722707</v>
      </c>
      <c r="G78" s="6">
        <f t="shared" si="5"/>
        <v>-0.61613445378155518</v>
      </c>
      <c r="H78" s="6">
        <f t="shared" si="6"/>
        <v>1.721603926276513</v>
      </c>
      <c r="I78" s="6"/>
      <c r="J78" s="6">
        <f t="shared" si="7"/>
        <v>7.8075630322717426</v>
      </c>
      <c r="K78" s="6"/>
    </row>
    <row r="79" spans="1:11" x14ac:dyDescent="0.3">
      <c r="A79" s="4" t="s">
        <v>78</v>
      </c>
      <c r="B79" s="4">
        <v>73.44</v>
      </c>
      <c r="C79" s="5">
        <v>8.16</v>
      </c>
      <c r="D79" s="6"/>
      <c r="E79" s="6"/>
      <c r="F79" s="6">
        <f t="shared" si="4"/>
        <v>-0.91420168067227081</v>
      </c>
      <c r="G79" s="6">
        <f t="shared" si="5"/>
        <v>-2.3061344537815529</v>
      </c>
      <c r="H79" s="6">
        <f t="shared" si="6"/>
        <v>2.1082719935033247</v>
      </c>
      <c r="I79" s="6"/>
      <c r="J79" s="6">
        <f t="shared" si="7"/>
        <v>0.83576471294400456</v>
      </c>
      <c r="K79" s="6"/>
    </row>
    <row r="80" spans="1:11" x14ac:dyDescent="0.3">
      <c r="A80" s="4" t="s">
        <v>79</v>
      </c>
      <c r="B80" s="4">
        <v>75.180000000000007</v>
      </c>
      <c r="C80" s="5">
        <v>9.9499999999999993</v>
      </c>
      <c r="D80" s="6"/>
      <c r="E80" s="6"/>
      <c r="F80" s="6">
        <f t="shared" si="4"/>
        <v>0.87579831932772834</v>
      </c>
      <c r="G80" s="6">
        <f t="shared" si="5"/>
        <v>-0.56613445378154381</v>
      </c>
      <c r="H80" s="6">
        <f t="shared" si="6"/>
        <v>-0.49581960313539758</v>
      </c>
      <c r="I80" s="6"/>
      <c r="J80" s="6">
        <f t="shared" si="7"/>
        <v>0.76702269613727359</v>
      </c>
      <c r="K80" s="6"/>
    </row>
    <row r="81" spans="1:11" x14ac:dyDescent="0.3">
      <c r="A81" s="4" t="s">
        <v>80</v>
      </c>
      <c r="B81" s="4">
        <v>73.53</v>
      </c>
      <c r="C81" s="5">
        <v>8.98</v>
      </c>
      <c r="D81" s="6"/>
      <c r="E81" s="6"/>
      <c r="F81" s="6">
        <f t="shared" si="4"/>
        <v>-9.4201680672270527E-2</v>
      </c>
      <c r="G81" s="6">
        <f t="shared" si="5"/>
        <v>-2.2161344537815495</v>
      </c>
      <c r="H81" s="6">
        <f t="shared" si="6"/>
        <v>0.2087635901419462</v>
      </c>
      <c r="I81" s="6"/>
      <c r="J81" s="6">
        <f t="shared" si="7"/>
        <v>8.8739566414804266E-3</v>
      </c>
      <c r="K81" s="6"/>
    </row>
    <row r="82" spans="1:11" x14ac:dyDescent="0.3">
      <c r="A82" s="4" t="s">
        <v>81</v>
      </c>
      <c r="B82" s="4">
        <v>70.31</v>
      </c>
      <c r="C82" s="5">
        <v>8.65</v>
      </c>
      <c r="D82" s="6"/>
      <c r="E82" s="6"/>
      <c r="F82" s="6">
        <f t="shared" si="4"/>
        <v>-0.4242016806722706</v>
      </c>
      <c r="G82" s="6">
        <f t="shared" si="5"/>
        <v>-5.4361344537815484</v>
      </c>
      <c r="H82" s="6">
        <f t="shared" si="6"/>
        <v>2.3060173716545687</v>
      </c>
      <c r="I82" s="6"/>
      <c r="J82" s="6">
        <f t="shared" si="7"/>
        <v>0.17994706588517903</v>
      </c>
      <c r="K82" s="6"/>
    </row>
    <row r="83" spans="1:11" x14ac:dyDescent="0.3">
      <c r="A83" s="4" t="s">
        <v>82</v>
      </c>
      <c r="B83" s="4">
        <v>70.930000000000007</v>
      </c>
      <c r="C83" s="5">
        <v>9.01</v>
      </c>
      <c r="D83" s="6"/>
      <c r="E83" s="6"/>
      <c r="F83" s="6">
        <f t="shared" si="4"/>
        <v>-6.4201680672271166E-2</v>
      </c>
      <c r="G83" s="6">
        <f t="shared" si="5"/>
        <v>-4.8161344537815438</v>
      </c>
      <c r="H83" s="6">
        <f t="shared" si="6"/>
        <v>0.3092039262764058</v>
      </c>
      <c r="I83" s="6"/>
      <c r="J83" s="6">
        <f t="shared" si="7"/>
        <v>4.1218558011442774E-3</v>
      </c>
      <c r="K83" s="6"/>
    </row>
    <row r="84" spans="1:11" x14ac:dyDescent="0.3">
      <c r="A84" s="4" t="s">
        <v>83</v>
      </c>
      <c r="B84" s="4">
        <v>74.3</v>
      </c>
      <c r="C84" s="5">
        <v>6.54</v>
      </c>
      <c r="D84" s="6"/>
      <c r="E84" s="6"/>
      <c r="F84" s="6">
        <f t="shared" si="4"/>
        <v>-2.5342016806722709</v>
      </c>
      <c r="G84" s="6">
        <f t="shared" si="5"/>
        <v>-1.4461344537815535</v>
      </c>
      <c r="H84" s="6">
        <f t="shared" si="6"/>
        <v>3.6647963632512894</v>
      </c>
      <c r="I84" s="6"/>
      <c r="J84" s="6">
        <f t="shared" si="7"/>
        <v>6.4221781583221622</v>
      </c>
      <c r="K84" s="6"/>
    </row>
    <row r="85" spans="1:11" x14ac:dyDescent="0.3">
      <c r="A85" s="4" t="s">
        <v>84</v>
      </c>
      <c r="B85" s="4">
        <v>71.22</v>
      </c>
      <c r="C85" s="5">
        <v>12.6</v>
      </c>
      <c r="D85" s="6"/>
      <c r="E85" s="6"/>
      <c r="F85" s="6">
        <f t="shared" si="4"/>
        <v>3.5257983193277287</v>
      </c>
      <c r="G85" s="6">
        <f t="shared" si="5"/>
        <v>-4.5261344537815518</v>
      </c>
      <c r="H85" s="6">
        <f t="shared" si="6"/>
        <v>-15.958237250194323</v>
      </c>
      <c r="I85" s="6"/>
      <c r="J85" s="6">
        <f t="shared" si="7"/>
        <v>12.431253788574237</v>
      </c>
      <c r="K85" s="6"/>
    </row>
    <row r="86" spans="1:11" x14ac:dyDescent="0.3">
      <c r="A86" s="4" t="s">
        <v>85</v>
      </c>
      <c r="B86" s="4">
        <v>71.22</v>
      </c>
      <c r="C86" s="5">
        <v>11.51</v>
      </c>
      <c r="D86" s="6"/>
      <c r="E86" s="6"/>
      <c r="F86" s="6">
        <f t="shared" si="4"/>
        <v>2.4357983193277288</v>
      </c>
      <c r="G86" s="6">
        <f t="shared" si="5"/>
        <v>-4.5261344537815518</v>
      </c>
      <c r="H86" s="6">
        <f t="shared" si="6"/>
        <v>-11.024750695572433</v>
      </c>
      <c r="I86" s="6"/>
      <c r="J86" s="6">
        <f t="shared" si="7"/>
        <v>5.9331134524397884</v>
      </c>
      <c r="K86" s="6"/>
    </row>
    <row r="87" spans="1:11" x14ac:dyDescent="0.3">
      <c r="A87" s="4" t="s">
        <v>86</v>
      </c>
      <c r="B87" s="4">
        <v>70.849999999999994</v>
      </c>
      <c r="C87" s="5">
        <v>16.45</v>
      </c>
      <c r="D87" s="6"/>
      <c r="E87" s="6"/>
      <c r="F87" s="6">
        <f t="shared" si="4"/>
        <v>7.3757983193277283</v>
      </c>
      <c r="G87" s="6">
        <f t="shared" si="5"/>
        <v>-4.8961344537815563</v>
      </c>
      <c r="H87" s="6">
        <f t="shared" si="6"/>
        <v>-36.112900275404591</v>
      </c>
      <c r="I87" s="6"/>
      <c r="J87" s="6">
        <f t="shared" si="7"/>
        <v>54.402400847397743</v>
      </c>
      <c r="K87" s="6"/>
    </row>
    <row r="88" spans="1:11" x14ac:dyDescent="0.3">
      <c r="A88" s="4" t="s">
        <v>87</v>
      </c>
      <c r="B88" s="4">
        <v>72.36</v>
      </c>
      <c r="C88" s="5">
        <v>8.6300000000000008</v>
      </c>
      <c r="D88" s="6"/>
      <c r="E88" s="6"/>
      <c r="F88" s="6">
        <f t="shared" si="4"/>
        <v>-0.44420168067227017</v>
      </c>
      <c r="G88" s="6">
        <f t="shared" si="5"/>
        <v>-3.3861344537815512</v>
      </c>
      <c r="H88" s="6">
        <f t="shared" si="6"/>
        <v>1.5041266153520445</v>
      </c>
      <c r="I88" s="6"/>
      <c r="J88" s="6">
        <f t="shared" si="7"/>
        <v>0.19731513311206947</v>
      </c>
      <c r="K88" s="6"/>
    </row>
    <row r="89" spans="1:11" x14ac:dyDescent="0.3">
      <c r="A89" s="4" t="s">
        <v>88</v>
      </c>
      <c r="B89" s="4">
        <v>82.67</v>
      </c>
      <c r="C89" s="5">
        <v>4.53</v>
      </c>
      <c r="D89" s="6"/>
      <c r="E89" s="6"/>
      <c r="F89" s="6">
        <f t="shared" si="4"/>
        <v>-4.5442016806722707</v>
      </c>
      <c r="G89" s="6">
        <f t="shared" si="5"/>
        <v>6.9238655462184511</v>
      </c>
      <c r="H89" s="6">
        <f t="shared" si="6"/>
        <v>-31.463441451874715</v>
      </c>
      <c r="I89" s="6"/>
      <c r="J89" s="6">
        <f t="shared" si="7"/>
        <v>20.649768914624691</v>
      </c>
      <c r="K89" s="6"/>
    </row>
    <row r="90" spans="1:11" x14ac:dyDescent="0.3">
      <c r="A90" s="4" t="s">
        <v>89</v>
      </c>
      <c r="B90" s="4">
        <v>76.69</v>
      </c>
      <c r="C90" s="5">
        <v>9.3699999999999992</v>
      </c>
      <c r="D90" s="6"/>
      <c r="E90" s="6"/>
      <c r="F90" s="6">
        <f t="shared" si="4"/>
        <v>0.29579831932772827</v>
      </c>
      <c r="G90" s="6">
        <f t="shared" si="5"/>
        <v>0.94386554621844709</v>
      </c>
      <c r="H90" s="6">
        <f t="shared" si="6"/>
        <v>0.27919384224276489</v>
      </c>
      <c r="I90" s="6"/>
      <c r="J90" s="6">
        <f t="shared" si="7"/>
        <v>8.7496645717108704E-2</v>
      </c>
      <c r="K90" s="6"/>
    </row>
    <row r="91" spans="1:11" x14ac:dyDescent="0.3">
      <c r="A91" s="4" t="s">
        <v>90</v>
      </c>
      <c r="B91" s="4">
        <v>75.67</v>
      </c>
      <c r="C91" s="5">
        <v>8.6</v>
      </c>
      <c r="D91" s="6"/>
      <c r="E91" s="6"/>
      <c r="F91" s="6">
        <f t="shared" si="4"/>
        <v>-0.47420168067227131</v>
      </c>
      <c r="G91" s="6">
        <f t="shared" si="5"/>
        <v>-7.6134453781548928E-2</v>
      </c>
      <c r="H91" s="6">
        <f t="shared" si="6"/>
        <v>3.6103085940275864E-2</v>
      </c>
      <c r="I91" s="6"/>
      <c r="J91" s="6">
        <f t="shared" si="7"/>
        <v>0.22486723395240676</v>
      </c>
      <c r="K91" s="6"/>
    </row>
    <row r="92" spans="1:11" x14ac:dyDescent="0.3">
      <c r="A92" s="4" t="s">
        <v>91</v>
      </c>
      <c r="B92" s="4">
        <v>75.239999999999995</v>
      </c>
      <c r="C92" s="5">
        <v>10.17</v>
      </c>
      <c r="D92" s="6"/>
      <c r="E92" s="6"/>
      <c r="F92" s="6">
        <f t="shared" si="4"/>
        <v>1.095798319327729</v>
      </c>
      <c r="G92" s="6">
        <f t="shared" si="5"/>
        <v>-0.50613445378155575</v>
      </c>
      <c r="H92" s="6">
        <f t="shared" si="6"/>
        <v>-0.55462128380768694</v>
      </c>
      <c r="I92" s="6"/>
      <c r="J92" s="6">
        <f t="shared" si="7"/>
        <v>1.2007739566414755</v>
      </c>
      <c r="K92" s="6"/>
    </row>
    <row r="93" spans="1:11" x14ac:dyDescent="0.3">
      <c r="A93" s="4" t="s">
        <v>92</v>
      </c>
      <c r="B93" s="4">
        <v>74.81</v>
      </c>
      <c r="C93" s="5">
        <v>10.63</v>
      </c>
      <c r="D93" s="6"/>
      <c r="E93" s="6"/>
      <c r="F93" s="6">
        <f t="shared" si="4"/>
        <v>1.5557983193277298</v>
      </c>
      <c r="G93" s="6">
        <f t="shared" si="5"/>
        <v>-0.93613445378154836</v>
      </c>
      <c r="H93" s="6">
        <f t="shared" si="6"/>
        <v>-1.4564364098581153</v>
      </c>
      <c r="I93" s="6"/>
      <c r="J93" s="6">
        <f t="shared" si="7"/>
        <v>2.4205084104229888</v>
      </c>
      <c r="K93" s="6"/>
    </row>
    <row r="94" spans="1:11" x14ac:dyDescent="0.3">
      <c r="A94" s="4" t="s">
        <v>93</v>
      </c>
      <c r="B94" s="4">
        <v>76.77</v>
      </c>
      <c r="C94" s="5">
        <v>9.32</v>
      </c>
      <c r="D94" s="6"/>
      <c r="E94" s="6"/>
      <c r="F94" s="6">
        <f t="shared" si="4"/>
        <v>0.24579831932772933</v>
      </c>
      <c r="G94" s="6">
        <f t="shared" si="5"/>
        <v>1.0238655462184454</v>
      </c>
      <c r="H94" s="6">
        <f t="shared" si="6"/>
        <v>0.25166443047806147</v>
      </c>
      <c r="I94" s="6"/>
      <c r="J94" s="6">
        <f t="shared" si="7"/>
        <v>6.0416813784336401E-2</v>
      </c>
      <c r="K94" s="6"/>
    </row>
    <row r="95" spans="1:11" x14ac:dyDescent="0.3">
      <c r="A95" s="4" t="s">
        <v>94</v>
      </c>
      <c r="B95" s="4">
        <v>73.91</v>
      </c>
      <c r="C95" s="5">
        <v>13.81</v>
      </c>
      <c r="D95" s="6"/>
      <c r="E95" s="6"/>
      <c r="F95" s="6">
        <f t="shared" si="4"/>
        <v>4.7357983193277295</v>
      </c>
      <c r="G95" s="6">
        <f t="shared" si="5"/>
        <v>-1.836134453781554</v>
      </c>
      <c r="H95" s="6">
        <f t="shared" si="6"/>
        <v>-8.6955624602784223</v>
      </c>
      <c r="I95" s="6"/>
      <c r="J95" s="6">
        <f t="shared" si="7"/>
        <v>22.427785721347348</v>
      </c>
      <c r="K95" s="6"/>
    </row>
    <row r="96" spans="1:11" x14ac:dyDescent="0.3">
      <c r="A96" s="4" t="s">
        <v>95</v>
      </c>
      <c r="B96" s="4">
        <v>72.75</v>
      </c>
      <c r="C96" s="5">
        <v>11.69</v>
      </c>
      <c r="D96" s="6"/>
      <c r="E96" s="6"/>
      <c r="F96" s="6">
        <f t="shared" si="4"/>
        <v>2.6157983193277285</v>
      </c>
      <c r="G96" s="6">
        <f t="shared" si="5"/>
        <v>-2.9961344537815506</v>
      </c>
      <c r="H96" s="6">
        <f t="shared" si="6"/>
        <v>-7.8372834686816821</v>
      </c>
      <c r="I96" s="6"/>
      <c r="J96" s="6">
        <f t="shared" si="7"/>
        <v>6.8424008473977693</v>
      </c>
      <c r="K96" s="6"/>
    </row>
    <row r="97" spans="1:11" x14ac:dyDescent="0.3">
      <c r="A97" s="4" t="s">
        <v>96</v>
      </c>
      <c r="B97" s="4">
        <v>72.31</v>
      </c>
      <c r="C97" s="5">
        <v>14.36</v>
      </c>
      <c r="D97" s="6"/>
      <c r="E97" s="6"/>
      <c r="F97" s="6">
        <f t="shared" si="4"/>
        <v>5.2857983193277285</v>
      </c>
      <c r="G97" s="6">
        <f t="shared" si="5"/>
        <v>-3.4361344537815484</v>
      </c>
      <c r="H97" s="6">
        <f t="shared" si="6"/>
        <v>-18.162713720782612</v>
      </c>
      <c r="I97" s="6"/>
      <c r="J97" s="6">
        <f t="shared" si="7"/>
        <v>27.939663872607838</v>
      </c>
      <c r="K97" s="6"/>
    </row>
    <row r="98" spans="1:11" x14ac:dyDescent="0.3">
      <c r="A98" s="4" t="s">
        <v>97</v>
      </c>
      <c r="B98" s="4">
        <v>75.900000000000006</v>
      </c>
      <c r="C98" s="5">
        <v>12.16</v>
      </c>
      <c r="D98" s="6"/>
      <c r="E98" s="6"/>
      <c r="F98" s="6">
        <f t="shared" si="4"/>
        <v>3.0857983193277292</v>
      </c>
      <c r="G98" s="6">
        <f t="shared" si="5"/>
        <v>0.15386554621845505</v>
      </c>
      <c r="H98" s="6">
        <f t="shared" si="6"/>
        <v>0.47479804392335162</v>
      </c>
      <c r="I98" s="6"/>
      <c r="J98" s="6">
        <f t="shared" si="7"/>
        <v>9.5221512675658389</v>
      </c>
      <c r="K98" s="6"/>
    </row>
    <row r="99" spans="1:11" x14ac:dyDescent="0.3">
      <c r="A99" s="4" t="s">
        <v>98</v>
      </c>
      <c r="B99" s="4">
        <v>78.930000000000007</v>
      </c>
      <c r="C99" s="5">
        <v>10.32</v>
      </c>
      <c r="D99" s="6"/>
      <c r="E99" s="6"/>
      <c r="F99" s="6">
        <f t="shared" si="4"/>
        <v>1.2457983193277293</v>
      </c>
      <c r="G99" s="6">
        <f t="shared" si="5"/>
        <v>3.1838655462184562</v>
      </c>
      <c r="H99" s="6">
        <f t="shared" si="6"/>
        <v>3.9664543464444155</v>
      </c>
      <c r="I99" s="6"/>
      <c r="J99" s="6">
        <f t="shared" si="7"/>
        <v>1.552013452439795</v>
      </c>
      <c r="K99" s="6"/>
    </row>
    <row r="100" spans="1:11" x14ac:dyDescent="0.3">
      <c r="A100" s="4" t="s">
        <v>99</v>
      </c>
      <c r="B100" s="4">
        <v>67.33</v>
      </c>
      <c r="C100" s="5">
        <v>18.66</v>
      </c>
      <c r="D100" s="6"/>
      <c r="E100" s="6"/>
      <c r="F100" s="6">
        <f t="shared" si="4"/>
        <v>9.5857983193277292</v>
      </c>
      <c r="G100" s="6">
        <f t="shared" si="5"/>
        <v>-8.4161344537815523</v>
      </c>
      <c r="H100" s="6">
        <f t="shared" si="6"/>
        <v>-80.675367502295401</v>
      </c>
      <c r="I100" s="6"/>
      <c r="J100" s="6">
        <f t="shared" si="7"/>
        <v>91.887529418826318</v>
      </c>
      <c r="K100" s="6"/>
    </row>
    <row r="101" spans="1:11" x14ac:dyDescent="0.3">
      <c r="A101" s="4" t="s">
        <v>100</v>
      </c>
      <c r="B101" s="4">
        <v>66.72</v>
      </c>
      <c r="C101" s="5">
        <v>20.83</v>
      </c>
      <c r="D101" s="6"/>
      <c r="E101" s="6"/>
      <c r="F101" s="6">
        <f t="shared" si="4"/>
        <v>11.755798319327727</v>
      </c>
      <c r="G101" s="6">
        <f t="shared" si="5"/>
        <v>-9.0261344537815518</v>
      </c>
      <c r="H101" s="6">
        <f t="shared" si="6"/>
        <v>-106.10941624179127</v>
      </c>
      <c r="I101" s="6"/>
      <c r="J101" s="6">
        <f t="shared" si="7"/>
        <v>138.19879412470863</v>
      </c>
      <c r="K101" s="6"/>
    </row>
    <row r="102" spans="1:11" x14ac:dyDescent="0.3">
      <c r="A102" s="4" t="s">
        <v>101</v>
      </c>
      <c r="B102" s="4">
        <v>70.849999999999994</v>
      </c>
      <c r="C102" s="5">
        <v>13.41</v>
      </c>
      <c r="D102" s="6"/>
      <c r="E102" s="6"/>
      <c r="F102" s="6">
        <f t="shared" si="4"/>
        <v>4.3357983193277292</v>
      </c>
      <c r="G102" s="6">
        <f t="shared" si="5"/>
        <v>-4.8961344537815563</v>
      </c>
      <c r="H102" s="6">
        <f t="shared" si="6"/>
        <v>-21.228651535908661</v>
      </c>
      <c r="I102" s="6"/>
      <c r="J102" s="6">
        <f t="shared" si="7"/>
        <v>18.799147065885162</v>
      </c>
      <c r="K102" s="6"/>
    </row>
    <row r="103" spans="1:11" x14ac:dyDescent="0.3">
      <c r="A103" s="4" t="s">
        <v>102</v>
      </c>
      <c r="B103" s="4">
        <v>69.78</v>
      </c>
      <c r="C103" s="5">
        <v>17.78</v>
      </c>
      <c r="D103" s="6"/>
      <c r="E103" s="6"/>
      <c r="F103" s="6">
        <f t="shared" si="4"/>
        <v>8.7057983193277302</v>
      </c>
      <c r="G103" s="6">
        <f t="shared" si="5"/>
        <v>-5.9661344537815495</v>
      </c>
      <c r="H103" s="6">
        <f t="shared" si="6"/>
        <v>-51.939963300614679</v>
      </c>
      <c r="I103" s="6"/>
      <c r="J103" s="6">
        <f t="shared" si="7"/>
        <v>75.790924376809528</v>
      </c>
      <c r="K103" s="6"/>
    </row>
    <row r="104" spans="1:11" x14ac:dyDescent="0.3">
      <c r="A104" s="4" t="s">
        <v>103</v>
      </c>
      <c r="B104" s="4">
        <v>81.88</v>
      </c>
      <c r="C104" s="5">
        <v>6.51</v>
      </c>
      <c r="D104" s="6"/>
      <c r="E104" s="6"/>
      <c r="F104" s="6">
        <f t="shared" si="4"/>
        <v>-2.5642016806722712</v>
      </c>
      <c r="G104" s="6">
        <f t="shared" si="5"/>
        <v>6.1338655462184448</v>
      </c>
      <c r="H104" s="6">
        <f t="shared" si="6"/>
        <v>-15.728468342631075</v>
      </c>
      <c r="I104" s="6"/>
      <c r="J104" s="6">
        <f t="shared" si="7"/>
        <v>6.5751302591625</v>
      </c>
      <c r="K104" s="6"/>
    </row>
    <row r="105" spans="1:11" x14ac:dyDescent="0.3">
      <c r="A105" s="4" t="s">
        <v>104</v>
      </c>
      <c r="B105" s="4">
        <v>81.44</v>
      </c>
      <c r="C105" s="5">
        <v>6.75</v>
      </c>
      <c r="D105" s="6"/>
      <c r="E105" s="6"/>
      <c r="F105" s="6">
        <f t="shared" si="4"/>
        <v>-2.324201680672271</v>
      </c>
      <c r="G105" s="6">
        <f t="shared" si="5"/>
        <v>5.6938655462184471</v>
      </c>
      <c r="H105" s="6">
        <f t="shared" si="6"/>
        <v>-13.233691872042852</v>
      </c>
      <c r="I105" s="6"/>
      <c r="J105" s="6">
        <f t="shared" si="7"/>
        <v>5.4019134524398087</v>
      </c>
      <c r="K105" s="6"/>
    </row>
    <row r="106" spans="1:11" x14ac:dyDescent="0.3">
      <c r="A106" s="4" t="s">
        <v>105</v>
      </c>
      <c r="B106" s="4">
        <v>84.68</v>
      </c>
      <c r="C106" s="5">
        <v>3.91</v>
      </c>
      <c r="D106" s="6"/>
      <c r="E106" s="6"/>
      <c r="F106" s="6">
        <f t="shared" si="4"/>
        <v>-5.1642016806722708</v>
      </c>
      <c r="G106" s="6">
        <f t="shared" si="5"/>
        <v>8.9338655462184562</v>
      </c>
      <c r="H106" s="6">
        <f t="shared" si="6"/>
        <v>-46.136283468681448</v>
      </c>
      <c r="I106" s="6"/>
      <c r="J106" s="6">
        <f t="shared" si="7"/>
        <v>26.668978998658307</v>
      </c>
      <c r="K106" s="6"/>
    </row>
    <row r="107" spans="1:11" x14ac:dyDescent="0.3">
      <c r="A107" s="4" t="s">
        <v>106</v>
      </c>
      <c r="B107" s="4">
        <v>77.790000000000006</v>
      </c>
      <c r="C107" s="5">
        <v>6.18</v>
      </c>
      <c r="D107" s="6"/>
      <c r="E107" s="6"/>
      <c r="F107" s="6">
        <f t="shared" si="4"/>
        <v>-2.8942016806722712</v>
      </c>
      <c r="G107" s="6">
        <f t="shared" si="5"/>
        <v>2.0438655462184556</v>
      </c>
      <c r="H107" s="6">
        <f t="shared" si="6"/>
        <v>-5.915359098933604</v>
      </c>
      <c r="I107" s="6"/>
      <c r="J107" s="6">
        <f t="shared" si="7"/>
        <v>8.3764033684061996</v>
      </c>
      <c r="K107" s="6"/>
    </row>
    <row r="108" spans="1:11" x14ac:dyDescent="0.3">
      <c r="A108" s="4" t="s">
        <v>107</v>
      </c>
      <c r="B108" s="4">
        <v>78.900000000000006</v>
      </c>
      <c r="C108" s="5">
        <v>6.32</v>
      </c>
      <c r="D108" s="6"/>
      <c r="E108" s="6"/>
      <c r="F108" s="6">
        <f t="shared" si="4"/>
        <v>-2.7542016806722707</v>
      </c>
      <c r="G108" s="6">
        <f t="shared" si="5"/>
        <v>3.1538655462184551</v>
      </c>
      <c r="H108" s="6">
        <f t="shared" si="6"/>
        <v>-8.6863817880092373</v>
      </c>
      <c r="I108" s="6"/>
      <c r="J108" s="6">
        <f t="shared" si="7"/>
        <v>7.5856268978179608</v>
      </c>
      <c r="K108" s="6"/>
    </row>
    <row r="109" spans="1:11" x14ac:dyDescent="0.3">
      <c r="A109" s="4" t="s">
        <v>108</v>
      </c>
      <c r="B109" s="4">
        <v>81.760000000000005</v>
      </c>
      <c r="C109" s="5">
        <v>5.57</v>
      </c>
      <c r="D109" s="6"/>
      <c r="E109" s="6"/>
      <c r="F109" s="6">
        <f t="shared" si="4"/>
        <v>-3.5042016806722707</v>
      </c>
      <c r="G109" s="6">
        <f t="shared" si="5"/>
        <v>6.0138655462184545</v>
      </c>
      <c r="H109" s="6">
        <f t="shared" si="6"/>
        <v>-21.07379775439577</v>
      </c>
      <c r="I109" s="6"/>
      <c r="J109" s="6">
        <f t="shared" si="7"/>
        <v>12.279429418826366</v>
      </c>
      <c r="K109" s="6"/>
    </row>
    <row r="110" spans="1:11" x14ac:dyDescent="0.3">
      <c r="A110" s="4" t="s">
        <v>109</v>
      </c>
      <c r="B110" s="4">
        <v>84.51</v>
      </c>
      <c r="C110" s="5">
        <v>4.38</v>
      </c>
      <c r="D110" s="6"/>
      <c r="E110" s="6"/>
      <c r="F110" s="6">
        <f t="shared" si="4"/>
        <v>-4.6942016806722711</v>
      </c>
      <c r="G110" s="6">
        <f t="shared" si="5"/>
        <v>8.7638655462184545</v>
      </c>
      <c r="H110" s="6">
        <f t="shared" si="6"/>
        <v>-41.139352376244481</v>
      </c>
      <c r="I110" s="6"/>
      <c r="J110" s="6">
        <f t="shared" si="7"/>
        <v>22.035529418826375</v>
      </c>
      <c r="K110" s="6"/>
    </row>
    <row r="111" spans="1:11" x14ac:dyDescent="0.3">
      <c r="A111" s="4" t="s">
        <v>110</v>
      </c>
      <c r="B111" s="4">
        <v>84.69</v>
      </c>
      <c r="C111" s="5">
        <v>3.96</v>
      </c>
      <c r="D111" s="6"/>
      <c r="E111" s="6"/>
      <c r="F111" s="6">
        <f t="shared" si="4"/>
        <v>-5.114201680672271</v>
      </c>
      <c r="G111" s="6">
        <f t="shared" si="5"/>
        <v>8.9438655462184471</v>
      </c>
      <c r="H111" s="6">
        <f t="shared" si="6"/>
        <v>-45.740732208177199</v>
      </c>
      <c r="I111" s="6"/>
      <c r="J111" s="6">
        <f t="shared" si="7"/>
        <v>26.155058830591081</v>
      </c>
      <c r="K111" s="6"/>
    </row>
    <row r="112" spans="1:11" x14ac:dyDescent="0.3">
      <c r="A112" s="4" t="s">
        <v>111</v>
      </c>
      <c r="B112" s="4">
        <v>79.69</v>
      </c>
      <c r="C112" s="5">
        <v>3.06</v>
      </c>
      <c r="D112" s="6"/>
      <c r="E112" s="6"/>
      <c r="F112" s="6">
        <f t="shared" si="4"/>
        <v>-6.0142016806722705</v>
      </c>
      <c r="G112" s="6">
        <f t="shared" si="5"/>
        <v>3.9438655462184471</v>
      </c>
      <c r="H112" s="6">
        <f t="shared" si="6"/>
        <v>-23.719202796412446</v>
      </c>
      <c r="I112" s="6"/>
      <c r="J112" s="6">
        <f t="shared" si="7"/>
        <v>36.170621855801166</v>
      </c>
      <c r="K112" s="6"/>
    </row>
    <row r="113" spans="1:11" x14ac:dyDescent="0.3">
      <c r="A113" s="4" t="s">
        <v>112</v>
      </c>
      <c r="B113" s="4">
        <v>70.88</v>
      </c>
      <c r="C113" s="5">
        <v>9.18</v>
      </c>
      <c r="D113" s="6"/>
      <c r="E113" s="6"/>
      <c r="F113" s="6">
        <f t="shared" si="4"/>
        <v>0.10579831932772876</v>
      </c>
      <c r="G113" s="6">
        <f t="shared" si="5"/>
        <v>-4.8661344537815552</v>
      </c>
      <c r="H113" s="6">
        <f t="shared" si="6"/>
        <v>-0.51482884683284391</v>
      </c>
      <c r="I113" s="6"/>
      <c r="J113" s="6">
        <f t="shared" si="7"/>
        <v>1.1193284372572065E-2</v>
      </c>
      <c r="K113" s="6"/>
    </row>
    <row r="114" spans="1:11" x14ac:dyDescent="0.3">
      <c r="A114" s="4" t="s">
        <v>113</v>
      </c>
      <c r="B114" s="4">
        <v>68.33</v>
      </c>
      <c r="C114" s="5">
        <v>8.44</v>
      </c>
      <c r="D114" s="6"/>
      <c r="E114" s="6"/>
      <c r="F114" s="6">
        <f t="shared" si="4"/>
        <v>-0.63420168067227145</v>
      </c>
      <c r="G114" s="6">
        <f t="shared" si="5"/>
        <v>-7.4161344537815523</v>
      </c>
      <c r="H114" s="6">
        <f t="shared" si="6"/>
        <v>4.7033249346797987</v>
      </c>
      <c r="I114" s="6"/>
      <c r="J114" s="6">
        <f t="shared" si="7"/>
        <v>0.40221177176753375</v>
      </c>
      <c r="K114" s="6"/>
    </row>
    <row r="115" spans="1:11" x14ac:dyDescent="0.3">
      <c r="A115" s="4" t="s">
        <v>114</v>
      </c>
      <c r="B115" s="4">
        <v>76.19</v>
      </c>
      <c r="C115" s="5">
        <v>6.55</v>
      </c>
      <c r="D115" s="6"/>
      <c r="E115" s="6"/>
      <c r="F115" s="6">
        <f t="shared" si="4"/>
        <v>-2.5242016806722711</v>
      </c>
      <c r="G115" s="6">
        <f t="shared" si="5"/>
        <v>0.44386554621844709</v>
      </c>
      <c r="H115" s="6">
        <f t="shared" si="6"/>
        <v>-1.1204061577571198</v>
      </c>
      <c r="I115" s="6"/>
      <c r="J115" s="6">
        <f t="shared" si="7"/>
        <v>6.371594124708718</v>
      </c>
      <c r="K115" s="6"/>
    </row>
    <row r="116" spans="1:11" x14ac:dyDescent="0.3">
      <c r="A116" s="4" t="s">
        <v>115</v>
      </c>
      <c r="B116" s="4">
        <v>73.28</v>
      </c>
      <c r="C116" s="5">
        <v>4.51</v>
      </c>
      <c r="D116" s="6"/>
      <c r="E116" s="6"/>
      <c r="F116" s="6">
        <f t="shared" si="4"/>
        <v>-4.5642016806722712</v>
      </c>
      <c r="G116" s="6">
        <f t="shared" si="5"/>
        <v>-2.4661344537815495</v>
      </c>
      <c r="H116" s="6">
        <f t="shared" si="6"/>
        <v>11.255935018713542</v>
      </c>
      <c r="I116" s="6"/>
      <c r="J116" s="6">
        <f t="shared" si="7"/>
        <v>20.831936981851584</v>
      </c>
      <c r="K116" s="6"/>
    </row>
    <row r="117" spans="1:11" x14ac:dyDescent="0.3">
      <c r="A117" s="4" t="s">
        <v>116</v>
      </c>
      <c r="B117" s="4">
        <v>81.53</v>
      </c>
      <c r="C117" s="5">
        <v>5.43</v>
      </c>
      <c r="D117" s="6"/>
      <c r="E117" s="6"/>
      <c r="F117" s="6">
        <f t="shared" si="4"/>
        <v>-3.6442016806722712</v>
      </c>
      <c r="G117" s="6">
        <f t="shared" si="5"/>
        <v>5.7838655462184505</v>
      </c>
      <c r="H117" s="6">
        <f t="shared" si="6"/>
        <v>-21.077572544311721</v>
      </c>
      <c r="I117" s="6"/>
      <c r="J117" s="6">
        <f t="shared" si="7"/>
        <v>13.280205889414606</v>
      </c>
      <c r="K117" s="6"/>
    </row>
    <row r="118" spans="1:11" x14ac:dyDescent="0.3">
      <c r="A118" s="4" t="s">
        <v>117</v>
      </c>
      <c r="B118" s="4">
        <v>78.83</v>
      </c>
      <c r="C118" s="5">
        <v>3.75</v>
      </c>
      <c r="D118" s="6"/>
      <c r="E118" s="6"/>
      <c r="F118" s="6">
        <f t="shared" si="4"/>
        <v>-5.324201680672271</v>
      </c>
      <c r="G118" s="6">
        <f t="shared" si="5"/>
        <v>3.0838655462184477</v>
      </c>
      <c r="H118" s="6">
        <f t="shared" si="6"/>
        <v>-16.41912212414357</v>
      </c>
      <c r="I118" s="6"/>
      <c r="J118" s="6">
        <f t="shared" si="7"/>
        <v>28.347123536473436</v>
      </c>
      <c r="K118" s="6"/>
    </row>
    <row r="119" spans="1:11" x14ac:dyDescent="0.3">
      <c r="A119" s="4" t="s">
        <v>118</v>
      </c>
      <c r="B119" s="4">
        <v>76.900000000000006</v>
      </c>
      <c r="C119" s="5">
        <v>5.65</v>
      </c>
      <c r="D119" s="6"/>
      <c r="E119" s="6"/>
      <c r="F119" s="6">
        <f t="shared" si="4"/>
        <v>-3.4242016806722706</v>
      </c>
      <c r="G119" s="6">
        <f t="shared" si="5"/>
        <v>1.1538655462184551</v>
      </c>
      <c r="H119" s="6">
        <f t="shared" si="6"/>
        <v>-3.9510683426310611</v>
      </c>
      <c r="I119" s="6"/>
      <c r="J119" s="6">
        <f t="shared" si="7"/>
        <v>11.725157149918802</v>
      </c>
      <c r="K119" s="6"/>
    </row>
    <row r="120" spans="1:11" x14ac:dyDescent="0.3">
      <c r="A120" s="4" t="s">
        <v>119</v>
      </c>
      <c r="B120" s="4">
        <v>84.16</v>
      </c>
      <c r="C120" s="5">
        <v>2.36</v>
      </c>
      <c r="D120" s="6"/>
      <c r="E120" s="6"/>
      <c r="F120" s="6">
        <f t="shared" si="4"/>
        <v>-6.7142016806722715</v>
      </c>
      <c r="G120" s="6">
        <f t="shared" si="5"/>
        <v>8.413865546218446</v>
      </c>
      <c r="H120" s="6">
        <f t="shared" si="6"/>
        <v>-56.492390191370411</v>
      </c>
      <c r="I120" s="6"/>
      <c r="J120" s="6">
        <f t="shared" si="7"/>
        <v>45.080504208742354</v>
      </c>
      <c r="K12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ANDHIAS ABDILLAH RIDHO</dc:creator>
  <cp:lastModifiedBy>ANDHIAS ABDILLAH RIDHO</cp:lastModifiedBy>
  <dcterms:created xsi:type="dcterms:W3CDTF">2026-02-08T13:16:38Z</dcterms:created>
  <dcterms:modified xsi:type="dcterms:W3CDTF">2026-02-08T13:31:29Z</dcterms:modified>
</cp:coreProperties>
</file>